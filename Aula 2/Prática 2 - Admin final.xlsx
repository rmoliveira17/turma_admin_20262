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 Milhomem\Desktop\"/>
    </mc:Choice>
  </mc:AlternateContent>
  <xr:revisionPtr revIDLastSave="0" documentId="13_ncr:1_{8CA586AB-5A8D-4C65-8DBD-7578594CD015}" xr6:coauthVersionLast="47" xr6:coauthVersionMax="47" xr10:uidLastSave="{00000000-0000-0000-0000-000000000000}"/>
  <bookViews>
    <workbookView xWindow="-108" yWindow="-108" windowWidth="23256" windowHeight="14016" xr2:uid="{161558F7-C0BB-4D7C-B5EF-797FB89ADC9E}"/>
  </bookViews>
  <sheets>
    <sheet name="Base_Diaria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7" i="2" l="1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3" i="2"/>
  <c r="H3" i="2" l="1"/>
  <c r="E4" i="2" l="1"/>
  <c r="I3" i="2"/>
  <c r="H4" i="2" l="1"/>
  <c r="E5" i="2" s="1"/>
  <c r="I4" i="2" l="1"/>
  <c r="H5" i="2"/>
  <c r="E6" i="2" s="1"/>
  <c r="H6" i="2" l="1"/>
  <c r="E7" i="2" s="1"/>
  <c r="I5" i="2"/>
  <c r="I6" i="2" l="1"/>
  <c r="H7" i="2"/>
  <c r="E8" i="2" s="1"/>
  <c r="H8" i="2" l="1"/>
  <c r="E9" i="2" s="1"/>
  <c r="I8" i="2"/>
  <c r="I7" i="2"/>
  <c r="H9" i="2" l="1"/>
  <c r="E10" i="2" s="1"/>
  <c r="H10" i="2" l="1"/>
  <c r="E11" i="2" s="1"/>
  <c r="I9" i="2"/>
  <c r="H11" i="2" l="1"/>
  <c r="E12" i="2" s="1"/>
  <c r="I11" i="2"/>
  <c r="I10" i="2"/>
  <c r="H12" i="2" l="1"/>
  <c r="E13" i="2" s="1"/>
  <c r="I12" i="2"/>
  <c r="H13" i="2" l="1"/>
  <c r="E14" i="2" s="1"/>
  <c r="I13" i="2"/>
  <c r="H14" i="2" l="1"/>
  <c r="E15" i="2" s="1"/>
  <c r="I14" i="2"/>
  <c r="H15" i="2" l="1"/>
  <c r="E16" i="2" s="1"/>
  <c r="I15" i="2" l="1"/>
  <c r="H16" i="2"/>
  <c r="E17" i="2" s="1"/>
  <c r="I16" i="2"/>
  <c r="H17" i="2" l="1"/>
  <c r="E18" i="2" s="1"/>
  <c r="I17" i="2" l="1"/>
  <c r="H18" i="2"/>
  <c r="E19" i="2" s="1"/>
  <c r="I18" i="2"/>
  <c r="H19" i="2" l="1"/>
  <c r="E20" i="2" s="1"/>
  <c r="I19" i="2"/>
  <c r="H20" i="2" l="1"/>
  <c r="E21" i="2" s="1"/>
  <c r="I20" i="2"/>
  <c r="H21" i="2" l="1"/>
  <c r="E22" i="2" s="1"/>
  <c r="I21" i="2"/>
  <c r="H22" i="2" l="1"/>
  <c r="E23" i="2" s="1"/>
  <c r="I22" i="2" l="1"/>
  <c r="H23" i="2"/>
  <c r="E24" i="2" s="1"/>
  <c r="I23" i="2"/>
  <c r="H24" i="2" l="1"/>
  <c r="E25" i="2" s="1"/>
  <c r="I24" i="2"/>
  <c r="H25" i="2" l="1"/>
  <c r="E26" i="2" s="1"/>
  <c r="I25" i="2" l="1"/>
  <c r="H26" i="2"/>
  <c r="E27" i="2" s="1"/>
  <c r="I26" i="2"/>
  <c r="H27" i="2" l="1"/>
  <c r="E28" i="2" s="1"/>
  <c r="I27" i="2" l="1"/>
  <c r="H28" i="2"/>
  <c r="E29" i="2" s="1"/>
  <c r="I28" i="2"/>
  <c r="H29" i="2" l="1"/>
  <c r="E30" i="2" s="1"/>
  <c r="I29" i="2"/>
  <c r="H30" i="2" l="1"/>
  <c r="E31" i="2" s="1"/>
  <c r="I30" i="2" l="1"/>
  <c r="H31" i="2"/>
  <c r="E32" i="2" s="1"/>
  <c r="I31" i="2"/>
  <c r="H32" i="2" l="1"/>
  <c r="E33" i="2" s="1"/>
  <c r="I32" i="2" l="1"/>
  <c r="H33" i="2"/>
  <c r="E34" i="2" s="1"/>
  <c r="I33" i="2" l="1"/>
  <c r="H34" i="2"/>
  <c r="E35" i="2" s="1"/>
  <c r="I34" i="2" l="1"/>
  <c r="H35" i="2"/>
  <c r="E36" i="2" s="1"/>
  <c r="I35" i="2"/>
  <c r="H36" i="2" l="1"/>
  <c r="E37" i="2" s="1"/>
  <c r="I36" i="2" l="1"/>
  <c r="H37" i="2"/>
  <c r="E38" i="2" s="1"/>
  <c r="I37" i="2" l="1"/>
  <c r="H38" i="2"/>
  <c r="E39" i="2" s="1"/>
  <c r="I38" i="2" l="1"/>
  <c r="H39" i="2"/>
  <c r="E40" i="2" s="1"/>
  <c r="I39" i="2" l="1"/>
  <c r="H40" i="2"/>
  <c r="E41" i="2" s="1"/>
  <c r="I40" i="2"/>
  <c r="H41" i="2" l="1"/>
  <c r="E42" i="2" s="1"/>
  <c r="I41" i="2" l="1"/>
  <c r="H42" i="2"/>
  <c r="E43" i="2" s="1"/>
  <c r="H43" i="2" l="1"/>
  <c r="E44" i="2" s="1"/>
  <c r="I42" i="2"/>
  <c r="H44" i="2" l="1"/>
  <c r="E45" i="2" s="1"/>
  <c r="I43" i="2"/>
  <c r="I44" i="2" l="1"/>
  <c r="H45" i="2"/>
  <c r="E46" i="2" s="1"/>
  <c r="I45" i="2"/>
  <c r="H46" i="2" l="1"/>
  <c r="E47" i="2" s="1"/>
  <c r="I46" i="2" l="1"/>
  <c r="H47" i="2"/>
  <c r="E48" i="2" s="1"/>
  <c r="I47" i="2" l="1"/>
  <c r="H48" i="2"/>
  <c r="E49" i="2" s="1"/>
  <c r="I48" i="2"/>
  <c r="H49" i="2" l="1"/>
  <c r="E50" i="2" s="1"/>
  <c r="I49" i="2" l="1"/>
  <c r="H50" i="2"/>
  <c r="E51" i="2" s="1"/>
  <c r="I50" i="2"/>
  <c r="H51" i="2" l="1"/>
  <c r="E52" i="2" s="1"/>
  <c r="I51" i="2"/>
  <c r="H52" i="2" l="1"/>
  <c r="E53" i="2" s="1"/>
  <c r="I52" i="2"/>
  <c r="H53" i="2" l="1"/>
  <c r="E54" i="2" s="1"/>
  <c r="I53" i="2"/>
  <c r="H54" i="2" l="1"/>
  <c r="E55" i="2" s="1"/>
  <c r="H55" i="2" l="1"/>
  <c r="E56" i="2" s="1"/>
  <c r="I54" i="2"/>
  <c r="I55" i="2" l="1"/>
  <c r="H56" i="2"/>
  <c r="E57" i="2" s="1"/>
  <c r="I56" i="2" l="1"/>
  <c r="H57" i="2"/>
  <c r="E58" i="2" s="1"/>
  <c r="I57" i="2"/>
  <c r="H58" i="2" l="1"/>
  <c r="E59" i="2" s="1"/>
  <c r="I58" i="2" l="1"/>
  <c r="H59" i="2"/>
  <c r="E60" i="2" s="1"/>
  <c r="I59" i="2" l="1"/>
  <c r="H60" i="2"/>
  <c r="E61" i="2" s="1"/>
  <c r="I60" i="2"/>
  <c r="H61" i="2" l="1"/>
  <c r="E62" i="2" s="1"/>
  <c r="I61" i="2"/>
  <c r="H62" i="2" l="1"/>
  <c r="E63" i="2" s="1"/>
  <c r="I62" i="2"/>
  <c r="H63" i="2" l="1"/>
  <c r="E64" i="2" s="1"/>
  <c r="I63" i="2" l="1"/>
  <c r="H64" i="2"/>
  <c r="E65" i="2" s="1"/>
  <c r="I64" i="2"/>
  <c r="H65" i="2" l="1"/>
  <c r="E66" i="2" s="1"/>
  <c r="H66" i="2" l="1"/>
  <c r="E67" i="2" s="1"/>
  <c r="I65" i="2"/>
  <c r="H67" i="2" l="1"/>
  <c r="E68" i="2" s="1"/>
  <c r="I67" i="2"/>
  <c r="I66" i="2"/>
  <c r="H68" i="2" l="1"/>
  <c r="E69" i="2" s="1"/>
  <c r="I68" i="2"/>
  <c r="H69" i="2" l="1"/>
  <c r="E70" i="2" s="1"/>
  <c r="I69" i="2"/>
  <c r="H70" i="2" l="1"/>
  <c r="E71" i="2" s="1"/>
  <c r="I70" i="2"/>
  <c r="H71" i="2" l="1"/>
  <c r="E72" i="2" s="1"/>
  <c r="I71" i="2"/>
  <c r="H72" i="2" l="1"/>
  <c r="E73" i="2" s="1"/>
  <c r="I72" i="2" l="1"/>
  <c r="H73" i="2"/>
  <c r="E74" i="2" s="1"/>
  <c r="I73" i="2" l="1"/>
  <c r="H74" i="2"/>
  <c r="E75" i="2" s="1"/>
  <c r="I74" i="2"/>
  <c r="H75" i="2" l="1"/>
  <c r="E76" i="2" s="1"/>
  <c r="I75" i="2" l="1"/>
  <c r="H76" i="2"/>
  <c r="E77" i="2" s="1"/>
  <c r="H77" i="2" l="1"/>
  <c r="E78" i="2" s="1"/>
  <c r="I77" i="2"/>
  <c r="I76" i="2"/>
  <c r="H78" i="2" l="1"/>
  <c r="E79" i="2" s="1"/>
  <c r="I78" i="2"/>
  <c r="H79" i="2" l="1"/>
  <c r="E80" i="2" s="1"/>
  <c r="H80" i="2" l="1"/>
  <c r="E81" i="2" s="1"/>
  <c r="I80" i="2"/>
  <c r="I79" i="2"/>
  <c r="H81" i="2" l="1"/>
  <c r="E82" i="2" s="1"/>
  <c r="I81" i="2"/>
  <c r="H82" i="2" l="1"/>
  <c r="E83" i="2" s="1"/>
  <c r="I82" i="2" l="1"/>
  <c r="H83" i="2"/>
  <c r="E84" i="2" s="1"/>
  <c r="H84" i="2" l="1"/>
  <c r="E85" i="2" s="1"/>
  <c r="I84" i="2"/>
  <c r="I83" i="2"/>
  <c r="H85" i="2" l="1"/>
  <c r="E86" i="2" s="1"/>
  <c r="I85" i="2"/>
  <c r="H86" i="2" l="1"/>
  <c r="E87" i="2" s="1"/>
  <c r="I86" i="2"/>
  <c r="H87" i="2" l="1"/>
  <c r="E88" i="2" s="1"/>
  <c r="I87" i="2" l="1"/>
  <c r="H88" i="2"/>
  <c r="E89" i="2" s="1"/>
  <c r="I88" i="2"/>
  <c r="H89" i="2" l="1"/>
  <c r="E90" i="2" s="1"/>
  <c r="I89" i="2" l="1"/>
  <c r="H90" i="2"/>
  <c r="E91" i="2" s="1"/>
  <c r="H91" i="2" l="1"/>
  <c r="E92" i="2" s="1"/>
  <c r="I91" i="2"/>
  <c r="I90" i="2"/>
  <c r="H92" i="2" l="1"/>
  <c r="E93" i="2" s="1"/>
  <c r="I92" i="2"/>
  <c r="H93" i="2" l="1"/>
  <c r="E94" i="2" s="1"/>
  <c r="I93" i="2"/>
  <c r="H94" i="2" l="1"/>
  <c r="E95" i="2" s="1"/>
  <c r="I94" i="2"/>
  <c r="H95" i="2" l="1"/>
  <c r="E96" i="2" s="1"/>
  <c r="I95" i="2"/>
  <c r="H96" i="2" l="1"/>
  <c r="E97" i="2" s="1"/>
  <c r="I96" i="2"/>
  <c r="H97" i="2" l="1"/>
  <c r="E98" i="2" s="1"/>
  <c r="I97" i="2"/>
  <c r="H98" i="2" l="1"/>
  <c r="E99" i="2" s="1"/>
  <c r="H99" i="2" l="1"/>
  <c r="E100" i="2" s="1"/>
  <c r="I98" i="2"/>
  <c r="I99" i="2" l="1"/>
  <c r="H100" i="2"/>
  <c r="E101" i="2" s="1"/>
  <c r="I100" i="2"/>
  <c r="H101" i="2" l="1"/>
  <c r="E102" i="2" s="1"/>
  <c r="H102" i="2" l="1"/>
  <c r="E103" i="2" s="1"/>
  <c r="I102" i="2"/>
  <c r="I101" i="2"/>
  <c r="H103" i="2" l="1"/>
  <c r="E104" i="2" s="1"/>
  <c r="I103" i="2"/>
  <c r="H104" i="2" l="1"/>
  <c r="E105" i="2" s="1"/>
  <c r="I104" i="2"/>
  <c r="H105" i="2" l="1"/>
  <c r="E106" i="2" s="1"/>
  <c r="I105" i="2"/>
  <c r="H106" i="2" l="1"/>
  <c r="E107" i="2" s="1"/>
  <c r="I106" i="2"/>
  <c r="H107" i="2" l="1"/>
  <c r="E108" i="2" s="1"/>
  <c r="H108" i="2" l="1"/>
  <c r="E109" i="2" s="1"/>
  <c r="I108" i="2"/>
  <c r="I107" i="2"/>
  <c r="H109" i="2" l="1"/>
  <c r="E110" i="2" s="1"/>
  <c r="H110" i="2" l="1"/>
  <c r="E111" i="2" s="1"/>
  <c r="I110" i="2"/>
  <c r="I109" i="2"/>
  <c r="H111" i="2" l="1"/>
  <c r="E112" i="2" s="1"/>
  <c r="I111" i="2"/>
  <c r="H112" i="2" l="1"/>
  <c r="E113" i="2" s="1"/>
  <c r="H113" i="2" l="1"/>
  <c r="E114" i="2" s="1"/>
  <c r="I113" i="2"/>
  <c r="I112" i="2"/>
  <c r="H114" i="2" l="1"/>
  <c r="E115" i="2" s="1"/>
  <c r="I114" i="2" l="1"/>
  <c r="H115" i="2"/>
  <c r="E116" i="2" s="1"/>
  <c r="I115" i="2"/>
  <c r="H116" i="2" l="1"/>
  <c r="E117" i="2" s="1"/>
  <c r="I116" i="2"/>
  <c r="H117" i="2" l="1"/>
  <c r="E118" i="2" s="1"/>
  <c r="H118" i="2" l="1"/>
  <c r="E119" i="2" s="1"/>
  <c r="I117" i="2"/>
  <c r="H119" i="2" l="1"/>
  <c r="E120" i="2" s="1"/>
  <c r="I119" i="2"/>
  <c r="I118" i="2"/>
  <c r="H120" i="2" l="1"/>
  <c r="E121" i="2" s="1"/>
  <c r="H121" i="2" l="1"/>
  <c r="E122" i="2" s="1"/>
  <c r="I121" i="2"/>
  <c r="I120" i="2"/>
  <c r="H122" i="2" l="1"/>
  <c r="E123" i="2" s="1"/>
  <c r="I122" i="2"/>
  <c r="H123" i="2" l="1"/>
  <c r="E124" i="2" s="1"/>
  <c r="H124" i="2" l="1"/>
  <c r="E125" i="2" s="1"/>
  <c r="I124" i="2"/>
  <c r="I123" i="2"/>
  <c r="H125" i="2" l="1"/>
  <c r="E126" i="2" s="1"/>
  <c r="I125" i="2"/>
  <c r="H126" i="2" l="1"/>
  <c r="E127" i="2" s="1"/>
  <c r="I126" i="2" l="1"/>
  <c r="H127" i="2"/>
  <c r="E128" i="2" s="1"/>
  <c r="I127" i="2"/>
  <c r="H128" i="2" l="1"/>
  <c r="E129" i="2" s="1"/>
  <c r="H129" i="2" l="1"/>
  <c r="E130" i="2" s="1"/>
  <c r="I128" i="2"/>
  <c r="H130" i="2" l="1"/>
  <c r="E131" i="2" s="1"/>
  <c r="I129" i="2"/>
  <c r="I130" i="2" l="1"/>
  <c r="H131" i="2"/>
  <c r="E132" i="2" s="1"/>
  <c r="H132" i="2" l="1"/>
  <c r="E133" i="2" s="1"/>
  <c r="I132" i="2"/>
  <c r="I131" i="2"/>
  <c r="H133" i="2" l="1"/>
  <c r="E134" i="2" s="1"/>
  <c r="I133" i="2"/>
  <c r="H134" i="2" l="1"/>
  <c r="E135" i="2" s="1"/>
  <c r="H135" i="2" l="1"/>
  <c r="E136" i="2" s="1"/>
  <c r="I134" i="2"/>
  <c r="H136" i="2" l="1"/>
  <c r="E137" i="2" s="1"/>
  <c r="I136" i="2"/>
  <c r="I135" i="2"/>
  <c r="H137" i="2" l="1"/>
  <c r="E138" i="2" s="1"/>
  <c r="I137" i="2"/>
  <c r="H138" i="2" l="1"/>
  <c r="E139" i="2" s="1"/>
  <c r="I138" i="2"/>
  <c r="H139" i="2" l="1"/>
  <c r="E140" i="2" s="1"/>
  <c r="H140" i="2" l="1"/>
  <c r="E141" i="2" s="1"/>
  <c r="I139" i="2"/>
  <c r="H141" i="2" l="1"/>
  <c r="E142" i="2" s="1"/>
  <c r="I141" i="2"/>
  <c r="I140" i="2"/>
  <c r="H142" i="2" l="1"/>
  <c r="E143" i="2" s="1"/>
  <c r="H143" i="2" l="1"/>
  <c r="E144" i="2" s="1"/>
  <c r="I143" i="2"/>
  <c r="I142" i="2"/>
  <c r="H144" i="2" l="1"/>
  <c r="E145" i="2" s="1"/>
  <c r="I144" i="2"/>
  <c r="H145" i="2" l="1"/>
  <c r="E146" i="2" s="1"/>
  <c r="H146" i="2" l="1"/>
  <c r="E147" i="2" s="1"/>
  <c r="I146" i="2"/>
  <c r="I145" i="2"/>
  <c r="H147" i="2" l="1"/>
  <c r="E148" i="2" s="1"/>
  <c r="I147" i="2"/>
  <c r="H148" i="2" l="1"/>
  <c r="E149" i="2" s="1"/>
  <c r="I148" i="2"/>
  <c r="H149" i="2" l="1"/>
  <c r="E150" i="2" s="1"/>
  <c r="I149" i="2"/>
  <c r="H150" i="2" l="1"/>
  <c r="E151" i="2" s="1"/>
  <c r="H151" i="2" l="1"/>
  <c r="E152" i="2" s="1"/>
  <c r="I150" i="2"/>
  <c r="H152" i="2" l="1"/>
  <c r="E153" i="2" s="1"/>
  <c r="I152" i="2"/>
  <c r="I151" i="2"/>
  <c r="H153" i="2" l="1"/>
  <c r="E154" i="2" s="1"/>
  <c r="H154" i="2" l="1"/>
  <c r="E155" i="2" s="1"/>
  <c r="I153" i="2"/>
  <c r="I154" i="2" l="1"/>
  <c r="H155" i="2"/>
  <c r="E156" i="2" s="1"/>
  <c r="I155" i="2" l="1"/>
  <c r="H156" i="2"/>
  <c r="E157" i="2" s="1"/>
  <c r="H157" i="2" l="1"/>
  <c r="E158" i="2" s="1"/>
  <c r="I157" i="2"/>
  <c r="I156" i="2"/>
  <c r="H158" i="2" l="1"/>
  <c r="E159" i="2" s="1"/>
  <c r="I158" i="2"/>
  <c r="H159" i="2" l="1"/>
  <c r="E160" i="2" s="1"/>
  <c r="I159" i="2" l="1"/>
  <c r="H160" i="2"/>
  <c r="E161" i="2" s="1"/>
  <c r="I160" i="2"/>
  <c r="H161" i="2" l="1"/>
  <c r="E162" i="2" s="1"/>
  <c r="H162" i="2" l="1"/>
  <c r="E163" i="2" s="1"/>
  <c r="I161" i="2"/>
  <c r="H163" i="2" l="1"/>
  <c r="E164" i="2" s="1"/>
  <c r="I163" i="2"/>
  <c r="I162" i="2"/>
  <c r="H164" i="2" l="1"/>
  <c r="E165" i="2" s="1"/>
  <c r="H165" i="2" l="1"/>
  <c r="E166" i="2" s="1"/>
  <c r="I165" i="2"/>
  <c r="I164" i="2"/>
  <c r="H166" i="2" l="1"/>
  <c r="E167" i="2" s="1"/>
  <c r="I166" i="2" l="1"/>
  <c r="H167" i="2"/>
  <c r="E168" i="2" s="1"/>
  <c r="H168" i="2" l="1"/>
  <c r="E169" i="2" s="1"/>
  <c r="I168" i="2"/>
  <c r="I167" i="2"/>
  <c r="H169" i="2" l="1"/>
  <c r="E170" i="2" s="1"/>
  <c r="I169" i="2"/>
  <c r="H170" i="2" l="1"/>
  <c r="E171" i="2" s="1"/>
  <c r="H171" i="2" l="1"/>
  <c r="E172" i="2" s="1"/>
  <c r="I170" i="2"/>
  <c r="I171" i="2" l="1"/>
  <c r="H172" i="2"/>
  <c r="E173" i="2" s="1"/>
  <c r="H173" i="2" l="1"/>
  <c r="E174" i="2" s="1"/>
  <c r="I172" i="2"/>
  <c r="H174" i="2" l="1"/>
  <c r="E175" i="2" s="1"/>
  <c r="I173" i="2"/>
  <c r="I174" i="2" l="1"/>
  <c r="H175" i="2"/>
  <c r="E176" i="2" s="1"/>
  <c r="H176" i="2" l="1"/>
  <c r="E177" i="2" s="1"/>
  <c r="I176" i="2"/>
  <c r="I175" i="2"/>
  <c r="H177" i="2" l="1"/>
  <c r="E178" i="2" s="1"/>
  <c r="I177" i="2" l="1"/>
  <c r="H178" i="2"/>
  <c r="E179" i="2" s="1"/>
  <c r="H179" i="2" l="1"/>
  <c r="E180" i="2" s="1"/>
  <c r="I179" i="2"/>
  <c r="I178" i="2"/>
  <c r="H180" i="2" l="1"/>
  <c r="E181" i="2" s="1"/>
  <c r="I180" i="2"/>
  <c r="H181" i="2" l="1"/>
  <c r="E182" i="2" s="1"/>
  <c r="H182" i="2" l="1"/>
  <c r="E183" i="2" s="1"/>
  <c r="I182" i="2"/>
  <c r="I181" i="2"/>
  <c r="H183" i="2" l="1"/>
  <c r="E184" i="2" s="1"/>
  <c r="H184" i="2" l="1"/>
  <c r="E185" i="2" s="1"/>
  <c r="I183" i="2"/>
  <c r="H185" i="2" l="1"/>
  <c r="E186" i="2" s="1"/>
  <c r="I184" i="2"/>
  <c r="I185" i="2" l="1"/>
  <c r="H186" i="2"/>
  <c r="E187" i="2" s="1"/>
  <c r="H187" i="2" l="1"/>
  <c r="E188" i="2" s="1"/>
  <c r="I186" i="2"/>
  <c r="I187" i="2" l="1"/>
  <c r="H188" i="2"/>
  <c r="E189" i="2" s="1"/>
  <c r="I188" i="2"/>
  <c r="H189" i="2" l="1"/>
  <c r="E190" i="2" s="1"/>
  <c r="H190" i="2" l="1"/>
  <c r="E191" i="2" s="1"/>
  <c r="I190" i="2"/>
  <c r="I189" i="2"/>
  <c r="H191" i="2" l="1"/>
  <c r="E192" i="2" s="1"/>
  <c r="I191" i="2"/>
  <c r="H192" i="2" l="1"/>
  <c r="E193" i="2" s="1"/>
  <c r="H193" i="2" l="1"/>
  <c r="E194" i="2" s="1"/>
  <c r="I192" i="2"/>
  <c r="I193" i="2" l="1"/>
  <c r="H194" i="2"/>
  <c r="E195" i="2" s="1"/>
  <c r="H195" i="2" l="1"/>
  <c r="E196" i="2" s="1"/>
  <c r="I194" i="2"/>
  <c r="H196" i="2" l="1"/>
  <c r="E197" i="2" s="1"/>
  <c r="I196" i="2"/>
  <c r="I195" i="2"/>
  <c r="H197" i="2" l="1"/>
  <c r="E198" i="2" s="1"/>
  <c r="H198" i="2" l="1"/>
  <c r="E199" i="2" s="1"/>
  <c r="I198" i="2"/>
  <c r="I197" i="2"/>
  <c r="H199" i="2" l="1"/>
  <c r="E200" i="2" s="1"/>
  <c r="I199" i="2"/>
  <c r="H200" i="2" l="1"/>
  <c r="E201" i="2" s="1"/>
  <c r="H201" i="2" l="1"/>
  <c r="E202" i="2" s="1"/>
  <c r="I201" i="2"/>
  <c r="I200" i="2"/>
  <c r="H202" i="2" l="1"/>
  <c r="E203" i="2" s="1"/>
  <c r="I202" i="2"/>
  <c r="H203" i="2" l="1"/>
  <c r="E204" i="2" s="1"/>
  <c r="H204" i="2" l="1"/>
  <c r="E205" i="2" s="1"/>
  <c r="I204" i="2"/>
  <c r="I203" i="2"/>
  <c r="H205" i="2" l="1"/>
  <c r="E206" i="2" s="1"/>
  <c r="H206" i="2" l="1"/>
  <c r="E207" i="2" s="1"/>
  <c r="I205" i="2"/>
  <c r="H207" i="2" l="1"/>
  <c r="E208" i="2" s="1"/>
  <c r="I207" i="2"/>
  <c r="I206" i="2"/>
  <c r="H208" i="2" l="1"/>
  <c r="E209" i="2" s="1"/>
  <c r="H209" i="2" l="1"/>
  <c r="E210" i="2" s="1"/>
  <c r="I209" i="2"/>
  <c r="I208" i="2"/>
  <c r="H210" i="2" l="1"/>
  <c r="E211" i="2" s="1"/>
  <c r="I210" i="2" l="1"/>
  <c r="H211" i="2"/>
  <c r="E212" i="2" s="1"/>
  <c r="H212" i="2" l="1"/>
  <c r="E213" i="2" s="1"/>
  <c r="I212" i="2"/>
  <c r="I211" i="2"/>
  <c r="H213" i="2" l="1"/>
  <c r="E214" i="2" s="1"/>
  <c r="I213" i="2"/>
  <c r="H214" i="2" l="1"/>
  <c r="E215" i="2" s="1"/>
  <c r="H215" i="2" l="1"/>
  <c r="E216" i="2" s="1"/>
  <c r="I215" i="2"/>
  <c r="I214" i="2"/>
  <c r="H216" i="2" l="1"/>
  <c r="E217" i="2" s="1"/>
  <c r="I216" i="2" l="1"/>
  <c r="H217" i="2"/>
  <c r="E218" i="2" s="1"/>
  <c r="H218" i="2" l="1"/>
  <c r="E219" i="2" s="1"/>
  <c r="I218" i="2"/>
  <c r="I217" i="2"/>
  <c r="H219" i="2" l="1"/>
  <c r="E220" i="2" s="1"/>
  <c r="H220" i="2" l="1"/>
  <c r="E221" i="2" s="1"/>
  <c r="I219" i="2"/>
  <c r="I220" i="2" l="1"/>
  <c r="H221" i="2"/>
  <c r="E222" i="2" s="1"/>
  <c r="I221" i="2"/>
  <c r="H222" i="2" l="1"/>
  <c r="E223" i="2" s="1"/>
  <c r="H223" i="2" l="1"/>
  <c r="E224" i="2" s="1"/>
  <c r="I222" i="2"/>
  <c r="I223" i="2" l="1"/>
  <c r="H224" i="2"/>
  <c r="E225" i="2" s="1"/>
  <c r="I224" i="2" l="1"/>
  <c r="H225" i="2"/>
  <c r="E226" i="2" s="1"/>
  <c r="H226" i="2" l="1"/>
  <c r="E227" i="2" s="1"/>
  <c r="I226" i="2"/>
  <c r="I225" i="2"/>
  <c r="H227" i="2" l="1"/>
  <c r="E228" i="2" s="1"/>
  <c r="H228" i="2" l="1"/>
  <c r="E229" i="2" s="1"/>
  <c r="I227" i="2"/>
  <c r="H229" i="2" l="1"/>
  <c r="E230" i="2" s="1"/>
  <c r="I229" i="2"/>
  <c r="I228" i="2"/>
  <c r="H230" i="2" l="1"/>
  <c r="E231" i="2" s="1"/>
  <c r="H231" i="2" l="1"/>
  <c r="E232" i="2" s="1"/>
  <c r="I230" i="2"/>
  <c r="H232" i="2" l="1"/>
  <c r="E233" i="2" s="1"/>
  <c r="I232" i="2"/>
  <c r="I231" i="2"/>
  <c r="H233" i="2" l="1"/>
  <c r="E234" i="2" s="1"/>
  <c r="H234" i="2" l="1"/>
  <c r="E235" i="2" s="1"/>
  <c r="I234" i="2"/>
  <c r="I233" i="2"/>
  <c r="H235" i="2" l="1"/>
  <c r="E236" i="2" s="1"/>
  <c r="I235" i="2"/>
  <c r="H236" i="2" l="1"/>
  <c r="E237" i="2" s="1"/>
  <c r="H237" i="2" l="1"/>
  <c r="E238" i="2" s="1"/>
  <c r="I236" i="2"/>
  <c r="I237" i="2" l="1"/>
  <c r="H238" i="2"/>
  <c r="E239" i="2" s="1"/>
  <c r="H239" i="2" l="1"/>
  <c r="E240" i="2" s="1"/>
  <c r="I238" i="2"/>
  <c r="H240" i="2" l="1"/>
  <c r="E241" i="2" s="1"/>
  <c r="I240" i="2"/>
  <c r="I239" i="2"/>
  <c r="H241" i="2" l="1"/>
  <c r="E242" i="2" s="1"/>
  <c r="H242" i="2" l="1"/>
  <c r="E243" i="2" s="1"/>
  <c r="I242" i="2"/>
  <c r="I241" i="2"/>
  <c r="H243" i="2" l="1"/>
  <c r="E244" i="2" s="1"/>
  <c r="I243" i="2"/>
  <c r="H244" i="2" l="1"/>
  <c r="E245" i="2" s="1"/>
  <c r="I244" i="2" l="1"/>
  <c r="H245" i="2"/>
  <c r="E246" i="2" s="1"/>
  <c r="I245" i="2"/>
  <c r="H246" i="2" l="1"/>
  <c r="E247" i="2" s="1"/>
  <c r="I246" i="2"/>
  <c r="H247" i="2" l="1"/>
  <c r="E248" i="2" s="1"/>
  <c r="H248" i="2" l="1"/>
  <c r="E249" i="2" s="1"/>
  <c r="I248" i="2"/>
  <c r="I247" i="2"/>
  <c r="H249" i="2" l="1"/>
  <c r="E250" i="2" s="1"/>
  <c r="H250" i="2" l="1"/>
  <c r="E251" i="2" s="1"/>
  <c r="I249" i="2"/>
  <c r="H251" i="2" l="1"/>
  <c r="E252" i="2" s="1"/>
  <c r="I251" i="2"/>
  <c r="I250" i="2"/>
  <c r="H252" i="2" l="1"/>
  <c r="E253" i="2" s="1"/>
  <c r="H253" i="2" l="1"/>
  <c r="E254" i="2" s="1"/>
  <c r="I253" i="2"/>
  <c r="I252" i="2"/>
  <c r="H254" i="2" l="1"/>
  <c r="E255" i="2" s="1"/>
  <c r="I254" i="2"/>
  <c r="H255" i="2" l="1"/>
  <c r="E256" i="2" s="1"/>
  <c r="H256" i="2" l="1"/>
  <c r="E257" i="2" s="1"/>
  <c r="I256" i="2"/>
  <c r="I255" i="2"/>
  <c r="H257" i="2" l="1"/>
  <c r="E258" i="2" s="1"/>
  <c r="I257" i="2" l="1"/>
  <c r="H258" i="2"/>
  <c r="E259" i="2" s="1"/>
  <c r="H259" i="2" l="1"/>
  <c r="E260" i="2" s="1"/>
  <c r="I259" i="2"/>
  <c r="I258" i="2"/>
  <c r="H260" i="2" l="1"/>
  <c r="E261" i="2" s="1"/>
  <c r="H261" i="2" l="1"/>
  <c r="E262" i="2" s="1"/>
  <c r="I260" i="2"/>
  <c r="H262" i="2" l="1"/>
  <c r="E263" i="2" s="1"/>
  <c r="I261" i="2"/>
  <c r="I262" i="2" l="1"/>
  <c r="H263" i="2"/>
  <c r="E264" i="2" s="1"/>
  <c r="H264" i="2" l="1"/>
  <c r="E265" i="2" s="1"/>
  <c r="I263" i="2"/>
  <c r="I264" i="2" l="1"/>
  <c r="H265" i="2"/>
  <c r="E266" i="2" s="1"/>
  <c r="I265" i="2"/>
  <c r="H266" i="2" l="1"/>
  <c r="E267" i="2" s="1"/>
  <c r="H267" i="2" l="1"/>
  <c r="E268" i="2" s="1"/>
  <c r="I267" i="2"/>
  <c r="I266" i="2"/>
  <c r="H268" i="2" l="1"/>
  <c r="E269" i="2" s="1"/>
  <c r="I268" i="2" l="1"/>
  <c r="H269" i="2"/>
  <c r="E270" i="2" s="1"/>
  <c r="H270" i="2" l="1"/>
  <c r="E271" i="2" s="1"/>
  <c r="I269" i="2"/>
  <c r="I270" i="2" l="1"/>
  <c r="H271" i="2"/>
  <c r="E272" i="2" s="1"/>
  <c r="H272" i="2" l="1"/>
  <c r="E273" i="2" s="1"/>
  <c r="I271" i="2"/>
  <c r="H273" i="2" l="1"/>
  <c r="E274" i="2" s="1"/>
  <c r="I273" i="2"/>
  <c r="I272" i="2"/>
  <c r="H274" i="2" l="1"/>
  <c r="E275" i="2" s="1"/>
  <c r="H275" i="2" l="1"/>
  <c r="E276" i="2" s="1"/>
  <c r="I274" i="2"/>
  <c r="H276" i="2" l="1"/>
  <c r="E277" i="2" s="1"/>
  <c r="I275" i="2"/>
  <c r="I276" i="2" l="1"/>
  <c r="H277" i="2"/>
  <c r="E278" i="2" s="1"/>
  <c r="H278" i="2" l="1"/>
  <c r="E279" i="2" s="1"/>
  <c r="I278" i="2"/>
  <c r="I277" i="2"/>
  <c r="H279" i="2" l="1"/>
  <c r="E280" i="2" s="1"/>
  <c r="I279" i="2"/>
  <c r="H280" i="2" l="1"/>
  <c r="E281" i="2" s="1"/>
  <c r="H281" i="2" l="1"/>
  <c r="E282" i="2" s="1"/>
  <c r="I280" i="2"/>
  <c r="H282" i="2" l="1"/>
  <c r="E283" i="2" s="1"/>
  <c r="I281" i="2"/>
  <c r="H283" i="2" l="1"/>
  <c r="E284" i="2" s="1"/>
  <c r="I282" i="2"/>
  <c r="H284" i="2" l="1"/>
  <c r="E285" i="2" s="1"/>
  <c r="I283" i="2"/>
  <c r="I284" i="2" l="1"/>
  <c r="H285" i="2"/>
  <c r="E286" i="2" s="1"/>
  <c r="H286" i="2" l="1"/>
  <c r="E287" i="2" s="1"/>
  <c r="I286" i="2"/>
  <c r="I285" i="2"/>
  <c r="H287" i="2" l="1"/>
  <c r="E288" i="2" s="1"/>
  <c r="I287" i="2"/>
  <c r="H288" i="2" l="1"/>
  <c r="E289" i="2" s="1"/>
  <c r="H289" i="2" l="1"/>
  <c r="E290" i="2" s="1"/>
  <c r="I288" i="2"/>
  <c r="H290" i="2" l="1"/>
  <c r="E291" i="2" s="1"/>
  <c r="I289" i="2"/>
  <c r="I290" i="2" l="1"/>
  <c r="H291" i="2"/>
  <c r="E292" i="2" s="1"/>
  <c r="H292" i="2" l="1"/>
  <c r="E293" i="2" s="1"/>
  <c r="I291" i="2"/>
  <c r="H293" i="2" l="1"/>
  <c r="E294" i="2" s="1"/>
  <c r="I292" i="2"/>
  <c r="H294" i="2" l="1"/>
  <c r="E295" i="2" s="1"/>
  <c r="I293" i="2"/>
  <c r="H295" i="2" l="1"/>
  <c r="E296" i="2" s="1"/>
  <c r="I294" i="2"/>
  <c r="I295" i="2" l="1"/>
  <c r="H296" i="2"/>
  <c r="E297" i="2" s="1"/>
  <c r="H297" i="2" l="1"/>
  <c r="E298" i="2" s="1"/>
  <c r="I297" i="2"/>
  <c r="I296" i="2"/>
  <c r="H298" i="2" l="1"/>
  <c r="E299" i="2" s="1"/>
  <c r="I298" i="2" l="1"/>
  <c r="H299" i="2"/>
  <c r="E300" i="2" s="1"/>
  <c r="H300" i="2" l="1"/>
  <c r="E301" i="2" s="1"/>
  <c r="I299" i="2"/>
  <c r="H301" i="2" l="1"/>
  <c r="E302" i="2" s="1"/>
  <c r="I301" i="2"/>
  <c r="I300" i="2"/>
  <c r="H302" i="2" l="1"/>
  <c r="E303" i="2" s="1"/>
  <c r="H303" i="2" l="1"/>
  <c r="E304" i="2" s="1"/>
  <c r="I302" i="2"/>
  <c r="H304" i="2" l="1"/>
  <c r="E305" i="2" s="1"/>
  <c r="I303" i="2"/>
  <c r="H305" i="2" l="1"/>
  <c r="E306" i="2" s="1"/>
  <c r="I304" i="2"/>
  <c r="H306" i="2" l="1"/>
  <c r="E307" i="2" s="1"/>
  <c r="I306" i="2"/>
  <c r="I305" i="2"/>
  <c r="H307" i="2" l="1"/>
  <c r="E308" i="2" s="1"/>
  <c r="H308" i="2" l="1"/>
  <c r="E309" i="2" s="1"/>
  <c r="I307" i="2"/>
  <c r="I308" i="2" l="1"/>
  <c r="H309" i="2"/>
  <c r="E310" i="2" s="1"/>
  <c r="I309" i="2"/>
  <c r="H310" i="2" l="1"/>
  <c r="E311" i="2" s="1"/>
  <c r="H311" i="2" l="1"/>
  <c r="E312" i="2" s="1"/>
  <c r="I310" i="2"/>
  <c r="H312" i="2" l="1"/>
  <c r="E313" i="2" s="1"/>
  <c r="I311" i="2"/>
  <c r="H313" i="2" l="1"/>
  <c r="E314" i="2" s="1"/>
  <c r="I312" i="2"/>
  <c r="H314" i="2" l="1"/>
  <c r="E315" i="2" s="1"/>
  <c r="I313" i="2"/>
  <c r="H315" i="2" l="1"/>
  <c r="E316" i="2" s="1"/>
  <c r="I314" i="2"/>
  <c r="H316" i="2" l="1"/>
  <c r="E317" i="2" s="1"/>
  <c r="I315" i="2"/>
  <c r="H317" i="2" l="1"/>
  <c r="E318" i="2" s="1"/>
  <c r="I316" i="2"/>
  <c r="H318" i="2" l="1"/>
  <c r="E319" i="2" s="1"/>
  <c r="I317" i="2"/>
  <c r="H319" i="2" l="1"/>
  <c r="E320" i="2" s="1"/>
  <c r="I319" i="2"/>
  <c r="I318" i="2"/>
  <c r="H320" i="2" l="1"/>
  <c r="E321" i="2" s="1"/>
  <c r="I320" i="2" l="1"/>
  <c r="H321" i="2"/>
  <c r="E322" i="2" s="1"/>
  <c r="H322" i="2" l="1"/>
  <c r="E323" i="2" s="1"/>
  <c r="I321" i="2"/>
  <c r="H323" i="2" l="1"/>
  <c r="E324" i="2" s="1"/>
  <c r="I322" i="2"/>
  <c r="H324" i="2" l="1"/>
  <c r="E325" i="2" s="1"/>
  <c r="I323" i="2"/>
  <c r="H325" i="2" l="1"/>
  <c r="E326" i="2" s="1"/>
  <c r="I324" i="2"/>
  <c r="H326" i="2" l="1"/>
  <c r="E327" i="2" s="1"/>
  <c r="I325" i="2"/>
  <c r="H327" i="2" l="1"/>
  <c r="E328" i="2" s="1"/>
  <c r="I326" i="2"/>
  <c r="H328" i="2" l="1"/>
  <c r="E329" i="2" s="1"/>
  <c r="I327" i="2"/>
  <c r="H329" i="2" l="1"/>
  <c r="E330" i="2" s="1"/>
  <c r="I328" i="2"/>
  <c r="H330" i="2" l="1"/>
  <c r="E331" i="2" s="1"/>
  <c r="I330" i="2"/>
  <c r="I329" i="2"/>
  <c r="H331" i="2" l="1"/>
  <c r="E332" i="2" s="1"/>
  <c r="I331" i="2" l="1"/>
  <c r="H332" i="2"/>
  <c r="E333" i="2" s="1"/>
  <c r="H333" i="2" l="1"/>
  <c r="E334" i="2" s="1"/>
  <c r="I332" i="2"/>
  <c r="H334" i="2" l="1"/>
  <c r="E335" i="2" s="1"/>
  <c r="I333" i="2"/>
  <c r="H335" i="2" l="1"/>
  <c r="E336" i="2" s="1"/>
  <c r="I334" i="2"/>
  <c r="H336" i="2" l="1"/>
  <c r="E337" i="2" s="1"/>
  <c r="I335" i="2"/>
  <c r="H337" i="2" l="1"/>
  <c r="E338" i="2" s="1"/>
  <c r="I336" i="2"/>
  <c r="H338" i="2" l="1"/>
  <c r="E339" i="2" s="1"/>
  <c r="I337" i="2"/>
  <c r="H339" i="2" l="1"/>
  <c r="E340" i="2" s="1"/>
  <c r="I338" i="2"/>
  <c r="H340" i="2" l="1"/>
  <c r="E341" i="2" s="1"/>
  <c r="I339" i="2"/>
  <c r="H341" i="2" l="1"/>
  <c r="E342" i="2" s="1"/>
  <c r="I340" i="2"/>
  <c r="H342" i="2" l="1"/>
  <c r="E343" i="2" s="1"/>
  <c r="I341" i="2"/>
  <c r="H343" i="2" l="1"/>
  <c r="E344" i="2" s="1"/>
  <c r="I342" i="2"/>
  <c r="H344" i="2" l="1"/>
  <c r="E345" i="2" s="1"/>
  <c r="I343" i="2"/>
  <c r="H345" i="2" l="1"/>
  <c r="E346" i="2" s="1"/>
  <c r="I344" i="2"/>
  <c r="H346" i="2" l="1"/>
  <c r="E347" i="2" s="1"/>
  <c r="I345" i="2"/>
  <c r="H347" i="2" l="1"/>
  <c r="E348" i="2" s="1"/>
  <c r="I346" i="2"/>
  <c r="H348" i="2" l="1"/>
  <c r="E349" i="2" s="1"/>
  <c r="I347" i="2"/>
  <c r="H349" i="2" l="1"/>
  <c r="E350" i="2" s="1"/>
  <c r="I348" i="2"/>
  <c r="H350" i="2" l="1"/>
  <c r="E351" i="2" s="1"/>
  <c r="I349" i="2"/>
  <c r="H351" i="2" l="1"/>
  <c r="E352" i="2" s="1"/>
  <c r="I350" i="2"/>
  <c r="H352" i="2" l="1"/>
  <c r="E353" i="2" s="1"/>
  <c r="I351" i="2"/>
  <c r="H353" i="2" l="1"/>
  <c r="E354" i="2" s="1"/>
  <c r="I352" i="2"/>
  <c r="H354" i="2" l="1"/>
  <c r="E355" i="2" s="1"/>
  <c r="I353" i="2"/>
  <c r="H355" i="2" l="1"/>
  <c r="E356" i="2" s="1"/>
  <c r="I354" i="2"/>
  <c r="H356" i="2" l="1"/>
  <c r="E357" i="2" s="1"/>
  <c r="I356" i="2"/>
  <c r="I355" i="2"/>
  <c r="H357" i="2" l="1"/>
  <c r="E358" i="2" s="1"/>
  <c r="H358" i="2" l="1"/>
  <c r="E359" i="2" s="1"/>
  <c r="I357" i="2"/>
  <c r="H359" i="2" l="1"/>
  <c r="E360" i="2" s="1"/>
  <c r="I358" i="2"/>
  <c r="H360" i="2" l="1"/>
  <c r="E361" i="2" s="1"/>
  <c r="I359" i="2"/>
  <c r="H361" i="2" l="1"/>
  <c r="E362" i="2" s="1"/>
  <c r="I360" i="2"/>
  <c r="H362" i="2" l="1"/>
  <c r="E363" i="2" s="1"/>
  <c r="I361" i="2"/>
  <c r="H363" i="2" l="1"/>
  <c r="E364" i="2" s="1"/>
  <c r="I362" i="2"/>
  <c r="H364" i="2" l="1"/>
  <c r="E365" i="2" s="1"/>
  <c r="I363" i="2"/>
  <c r="H365" i="2" l="1"/>
  <c r="E366" i="2" s="1"/>
  <c r="I364" i="2"/>
  <c r="H366" i="2" l="1"/>
  <c r="E367" i="2" s="1"/>
  <c r="I365" i="2"/>
  <c r="H367" i="2" l="1"/>
  <c r="I367" i="2" s="1"/>
  <c r="I366" i="2"/>
</calcChain>
</file>

<file path=xl/sharedStrings.xml><?xml version="1.0" encoding="utf-8"?>
<sst xmlns="http://schemas.openxmlformats.org/spreadsheetml/2006/main" count="1104" uniqueCount="393">
  <si>
    <t>Data</t>
  </si>
  <si>
    <t>Mês</t>
  </si>
  <si>
    <t>Dia da Semana</t>
  </si>
  <si>
    <t>Estoque Inicial</t>
  </si>
  <si>
    <t>Entradas</t>
  </si>
  <si>
    <t>Saídas</t>
  </si>
  <si>
    <t>Estoque Final</t>
  </si>
  <si>
    <t>Estoque Médio Dia</t>
  </si>
  <si>
    <t>Data (dd/mm)</t>
  </si>
  <si>
    <t>JAN</t>
  </si>
  <si>
    <t>QUI</t>
  </si>
  <si>
    <t>01/01</t>
  </si>
  <si>
    <t>SEX</t>
  </si>
  <si>
    <t>02/01</t>
  </si>
  <si>
    <t>SÁB</t>
  </si>
  <si>
    <t>03/01</t>
  </si>
  <si>
    <t>DOM</t>
  </si>
  <si>
    <t>04/01</t>
  </si>
  <si>
    <t>SEG</t>
  </si>
  <si>
    <t>05/01</t>
  </si>
  <si>
    <t>TER</t>
  </si>
  <si>
    <t>06/01</t>
  </si>
  <si>
    <t>QUA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</si>
  <si>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</si>
  <si>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</si>
  <si>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</si>
  <si>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</si>
  <si>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</si>
  <si>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</si>
  <si>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</si>
  <si>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</si>
  <si>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</si>
  <si>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</si>
  <si>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</si>
  <si>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</si>
  <si>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</si>
  <si>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</si>
  <si>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</si>
  <si>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</si>
  <si>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</si>
  <si>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</si>
  <si>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</si>
  <si>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</si>
  <si>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</si>
  <si>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</si>
  <si>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</si>
  <si>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</si>
  <si>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</si>
  <si>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FEV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</si>
  <si>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</si>
  <si>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</si>
  <si>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</si>
  <si>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</si>
  <si>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</si>
  <si>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</si>
  <si>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</si>
  <si>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</si>
  <si>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</si>
  <si>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</si>
  <si>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</si>
  <si>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</si>
  <si>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</si>
  <si>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</si>
  <si>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</si>
  <si>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</si>
  <si>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</si>
  <si>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</si>
  <si>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</si>
  <si>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</si>
  <si>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</si>
  <si>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</si>
  <si>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</si>
  <si>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</si>
  <si>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</si>
  <si>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</si>
  <si>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</si>
  <si>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</si>
  <si>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MAR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</si>
  <si>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</si>
  <si>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</si>
  <si>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</si>
  <si>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</si>
  <si>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</si>
  <si>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</si>
  <si>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</si>
  <si>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</si>
  <si>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</si>
  <si>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</si>
  <si>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</si>
  <si>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</si>
  <si>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</si>
  <si>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</si>
  <si>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</si>
  <si>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</si>
  <si>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</si>
  <si>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</si>
  <si>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</si>
  <si>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</si>
  <si>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</si>
  <si>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</si>
  <si>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</si>
  <si>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</si>
  <si>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</si>
  <si>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</si>
  <si>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</si>
  <si>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</si>
  <si>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</si>
  <si>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</si>
  <si>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</si>
  <si>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ABR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</si>
  <si>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</si>
  <si>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</si>
  <si>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</si>
  <si>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</si>
  <si>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</si>
  <si>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</si>
  <si>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</si>
  <si>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</si>
  <si>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</si>
  <si>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</si>
  <si>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</si>
  <si>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</si>
  <si>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</si>
  <si>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</si>
  <si>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</si>
  <si>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</si>
  <si>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</si>
  <si>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</si>
  <si>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</si>
  <si>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</si>
  <si>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</si>
  <si>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</si>
  <si>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</si>
  <si>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</si>
  <si>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</si>
  <si>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</si>
  <si>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</si>
  <si>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</si>
  <si>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</si>
  <si>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</si>
  <si>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MAI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</si>
  <si>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</si>
  <si>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</si>
  <si>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</si>
  <si>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</si>
  <si>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</si>
  <si>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</si>
  <si>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</si>
  <si>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</si>
  <si>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</si>
  <si>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</si>
  <si>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</si>
  <si>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</si>
  <si>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</si>
  <si>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</si>
  <si>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</si>
  <si>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</si>
  <si>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</si>
  <si>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</si>
  <si>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</si>
  <si>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</si>
  <si>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</si>
  <si>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</si>
  <si>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</si>
  <si>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</si>
  <si>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</si>
  <si>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</si>
  <si>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</si>
  <si>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</si>
  <si>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</si>
  <si>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</si>
  <si>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</si>
  <si>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JUN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</si>
  <si>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</si>
  <si>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</si>
  <si>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</si>
  <si>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</si>
  <si>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</si>
  <si>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</si>
  <si>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</si>
  <si>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</si>
  <si>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</si>
  <si>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</si>
  <si>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</si>
  <si>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</si>
  <si>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</si>
  <si>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</si>
  <si>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</si>
  <si>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</si>
  <si>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</si>
  <si>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</si>
  <si>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</si>
  <si>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</si>
  <si>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</si>
  <si>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</si>
  <si>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</si>
  <si>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</si>
  <si>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</si>
  <si>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</si>
  <si>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</si>
  <si>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</si>
  <si>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</si>
  <si>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</si>
  <si>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JUL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</si>
  <si>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</si>
  <si>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</si>
  <si>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</si>
  <si>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</si>
  <si>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</si>
  <si>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</si>
  <si>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</si>
  <si>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</si>
  <si>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</si>
  <si>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</si>
  <si>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</si>
  <si>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</si>
  <si>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</si>
  <si>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</si>
  <si>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</si>
  <si>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</si>
  <si>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</si>
  <si>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</si>
  <si>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</si>
  <si>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</si>
  <si>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</si>
  <si>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</si>
  <si>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</si>
  <si>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</si>
  <si>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</si>
  <si>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</si>
  <si>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</si>
  <si>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</si>
  <si>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</si>
  <si>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</si>
  <si>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</si>
  <si>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AGO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</si>
  <si>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</si>
  <si>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</si>
  <si>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</si>
  <si>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</si>
  <si>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</si>
  <si>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</si>
  <si>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</si>
  <si>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</si>
  <si>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</si>
  <si>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</si>
  <si>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</si>
  <si>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</si>
  <si>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</si>
  <si>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</si>
  <si>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</si>
  <si>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</si>
  <si>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</si>
  <si>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</si>
  <si>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</si>
  <si>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</si>
  <si>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</si>
  <si>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</si>
  <si>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</si>
  <si>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</si>
  <si>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</si>
  <si>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</si>
  <si>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</si>
  <si>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</si>
  <si>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</si>
  <si>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</si>
  <si>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</si>
  <si>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SET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</si>
  <si>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</si>
  <si>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</si>
  <si>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</si>
  <si>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</si>
  <si>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</si>
  <si>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</si>
  <si>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</si>
  <si>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</si>
  <si>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</si>
  <si>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</si>
  <si>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</si>
  <si>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</si>
  <si>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</si>
  <si>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</si>
  <si>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</si>
  <si>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</si>
  <si>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</si>
  <si>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</si>
  <si>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</si>
  <si>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</si>
  <si>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</si>
  <si>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</si>
  <si>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</si>
  <si>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</si>
  <si>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</si>
  <si>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</si>
  <si>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</si>
  <si>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</si>
  <si>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</si>
  <si>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</si>
  <si>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OUT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</si>
  <si>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</si>
  <si>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</si>
  <si>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</si>
  <si>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</si>
  <si>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</si>
  <si>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</si>
  <si>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</si>
  <si>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</si>
  <si>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</si>
  <si>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</si>
  <si>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</si>
  <si>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</si>
  <si>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</si>
  <si>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</si>
  <si>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</si>
  <si>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</si>
  <si>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</si>
  <si>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</si>
  <si>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</si>
  <si>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</si>
  <si>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</si>
  <si>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</si>
  <si>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</si>
  <si>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</si>
  <si>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</si>
  <si>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</si>
  <si>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</si>
  <si>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</si>
  <si>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</si>
  <si>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</si>
  <si>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</si>
  <si>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NOV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</si>
  <si>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</si>
  <si>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</si>
  <si>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</si>
  <si>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</si>
  <si>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</si>
  <si>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</si>
  <si>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</si>
  <si>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</si>
  <si>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</si>
  <si>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</si>
  <si>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</si>
  <si>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</si>
  <si>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</si>
  <si>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</si>
  <si>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</si>
  <si>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</si>
  <si>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</si>
  <si>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</si>
  <si>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</si>
  <si>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</si>
  <si>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</si>
  <si>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</si>
  <si>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</si>
  <si>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</si>
  <si>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</si>
  <si>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</si>
  <si>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</si>
  <si>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</si>
  <si>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</si>
  <si>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</si>
  <si>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DEZ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</si>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</sst>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17365D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xr:uid="{63994189-94E7-4EFF-ADC7-8196C0CEBE91}"/>
  </cellStyles>
  <dxfs count="2">
    <dxf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base_giro_estoque_diaria_2026.xlsx" TargetMode="External"/><Relationship Id="rId2" Type="http://schemas.openxmlformats.org/officeDocument/2006/relationships/externalLinkPath" Target="file:///C:\Users\Renato%20Milhomem\Downloads\base_giro_estoque_diaria_2026.xlsx" TargetMode="External"/><Relationship Id="rId1" Type="http://schemas.openxmlformats.org/officeDocument/2006/relationships/externalLinkPath" Target="/Users/Renato%20Milhomem/Downloads/base_giro_estoque_diaria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_Diaria"/>
      <sheetName val="Consolidado_Mensal"/>
      <sheetName val="Parametros"/>
      <sheetName val="Dashboard"/>
    </sheetNames>
    <sheetDataSet>
      <sheetData sheetId="0"/>
      <sheetData sheetId="1"/>
      <sheetData sheetId="2">
        <row r="4">
          <cell r="B4">
            <v>10000</v>
          </cell>
        </row>
        <row r="7">
          <cell r="C7">
            <v>8500</v>
          </cell>
        </row>
        <row r="8">
          <cell r="C8">
            <v>7600</v>
          </cell>
        </row>
        <row r="9">
          <cell r="C9">
            <v>9000</v>
          </cell>
        </row>
        <row r="10">
          <cell r="C10">
            <v>8600</v>
          </cell>
        </row>
        <row r="11">
          <cell r="C11">
            <v>9200</v>
          </cell>
        </row>
        <row r="12">
          <cell r="C12">
            <v>8500</v>
          </cell>
        </row>
        <row r="13">
          <cell r="C13">
            <v>9000</v>
          </cell>
        </row>
        <row r="14">
          <cell r="C14">
            <v>8700</v>
          </cell>
        </row>
        <row r="15">
          <cell r="C15">
            <v>9300</v>
          </cell>
        </row>
        <row r="16">
          <cell r="C16">
            <v>9200</v>
          </cell>
        </row>
        <row r="17">
          <cell r="C17">
            <v>10000</v>
          </cell>
        </row>
        <row r="18">
          <cell r="C18">
            <v>10500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6E080-DE98-452F-BB31-318E62D7EFF4}" name="BaseDiariaTable" displayName="BaseDiariaTable" ref="B2:I367" totalsRowShown="0">
  <tableColumns count="8">
    <tableColumn id="1" xr3:uid="{41E187B4-7A6C-456E-AC84-F3764AF90C77}" name="Data"/>
    <tableColumn id="2" xr3:uid="{53E905FE-F2BE-48B2-9230-5EEC42168369}" name="Mês"/>
    <tableColumn id="3" xr3:uid="{F564B572-1CF3-43C5-A137-FE25248E0A27}" name="Dia da Semana"/>
    <tableColumn id="4" xr3:uid="{AD28C5F8-3732-4857-93BD-F0A21CAEB65B}" name="Estoque Inicial"/>
    <tableColumn id="5" xr3:uid="{7D83D3D1-DDFB-48C7-9FE6-C2BA3FE3FC87}" name="Entradas">
      <calculatedColumnFormula>IF(DAY(B3)=1,INDEX([1]Parametros!$C$7:$C$18,MONTH(B3)),0)</calculatedColumnFormula>
    </tableColumn>
    <tableColumn id="6" xr3:uid="{EDAAE1EB-02F1-4009-89CC-F7C3D825E15E}" name="Saídas"/>
    <tableColumn id="7" xr3:uid="{CA2130BC-D54F-434E-873D-79C998E5A535}" name="Estoque Final">
      <calculatedColumnFormula>E3+F3-G3</calculatedColumnFormula>
    </tableColumn>
    <tableColumn id="8" xr3:uid="{3DA2EADE-0FF7-4320-A12F-44C8E0C76199}" name="Estoque Médio Dia">
      <calculatedColumnFormula>(E3+H3)/2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2AD2-FE9E-40EC-A70D-A9A185A14416}">
  <dimension ref="B2:J367"/>
  <sheetViews>
    <sheetView tabSelected="1" workbookViewId="0">
      <selection activeCell="I14" sqref="I14"/>
    </sheetView>
  </sheetViews>
  <sheetFormatPr defaultRowHeight="13.8"/>
  <cols>
    <col min="1" max="1" width="8.88671875" style="2"/>
    <col min="2" max="2" width="14.44140625" style="2" customWidth="1"/>
    <col min="3" max="3" width="11.109375" style="2" customWidth="1"/>
    <col min="4" max="4" width="16.6640625" style="2" customWidth="1"/>
    <col min="5" max="9" width="20" style="2" customWidth="1"/>
    <col min="10" max="10" width="13.33203125" style="2" customWidth="1"/>
    <col min="11" max="11" width="8.88671875" style="2"/>
    <col min="12" max="12" width="14" style="2" bestFit="1" customWidth="1"/>
    <col min="13" max="13" width="25.88671875" style="2" bestFit="1" customWidth="1"/>
    <col min="14" max="14" width="13.33203125" style="2" bestFit="1" customWidth="1"/>
    <col min="15" max="16384" width="8.88671875" style="2"/>
  </cols>
  <sheetData>
    <row r="2" spans="2:10" ht="27.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>
      <c r="B3" s="3">
        <v>46023</v>
      </c>
      <c r="C3" s="2" t="s">
        <v>9</v>
      </c>
      <c r="D3" s="2" t="s">
        <v>10</v>
      </c>
      <c r="E3" s="4">
        <f>[1]Parametros!$B$4</f>
        <v>10000</v>
      </c>
      <c r="F3" s="4">
        <f>IF(DAY(B3)=1,INDEX([1]Parametros!$C$7:$C$18,MONTH(B3)),0)</f>
        <v>8500</v>
      </c>
      <c r="G3" s="4">
        <v>272</v>
      </c>
      <c r="H3" s="4">
        <f>E3+F3-G3</f>
        <v>18228</v>
      </c>
      <c r="I3" s="4">
        <f t="shared" ref="I3:I66" si="0">(E3+H3)/2</f>
        <v>14114</v>
      </c>
      <c r="J3" s="2" t="s">
        <v>11</v>
      </c>
    </row>
    <row r="4" spans="2:10">
      <c r="B4" s="3">
        <v>46024</v>
      </c>
      <c r="C4" s="2" t="s">
        <v>9</v>
      </c>
      <c r="D4" s="2" t="s">
        <v>12</v>
      </c>
      <c r="E4" s="4">
        <f t="shared" ref="E4:E67" si="1">H3</f>
        <v>18228</v>
      </c>
      <c r="F4" s="4">
        <f>IF(DAY(B4)=1,INDEX([1]Parametros!$C$7:$C$18,MONTH(B4)),0)</f>
        <v>0</v>
      </c>
      <c r="G4" s="4">
        <v>304</v>
      </c>
      <c r="H4" s="4">
        <f t="shared" ref="H4:H67" si="2">E4+F4-G4</f>
        <v>17924</v>
      </c>
      <c r="I4" s="4">
        <f t="shared" si="0"/>
        <v>18076</v>
      </c>
      <c r="J4" s="2" t="s">
        <v>13</v>
      </c>
    </row>
    <row r="5" spans="2:10">
      <c r="B5" s="3">
        <v>46025</v>
      </c>
      <c r="C5" s="2" t="s">
        <v>9</v>
      </c>
      <c r="D5" s="2" t="s">
        <v>14</v>
      </c>
      <c r="E5" s="4">
        <f t="shared" si="1"/>
        <v>17924</v>
      </c>
      <c r="F5" s="4">
        <f>IF(DAY(B5)=1,INDEX([1]Parametros!$C$7:$C$18,MONTH(B5)),0)</f>
        <v>0</v>
      </c>
      <c r="G5" s="4">
        <v>196</v>
      </c>
      <c r="H5" s="4">
        <f t="shared" si="2"/>
        <v>17728</v>
      </c>
      <c r="I5" s="4">
        <f t="shared" si="0"/>
        <v>17826</v>
      </c>
      <c r="J5" s="2" t="s">
        <v>15</v>
      </c>
    </row>
    <row r="6" spans="2:10">
      <c r="B6" s="3">
        <v>46026</v>
      </c>
      <c r="C6" s="2" t="s">
        <v>9</v>
      </c>
      <c r="D6" s="2" t="s">
        <v>16</v>
      </c>
      <c r="E6" s="4">
        <f t="shared" si="1"/>
        <v>17728</v>
      </c>
      <c r="F6" s="4">
        <f>IF(DAY(B6)=1,INDEX([1]Parametros!$C$7:$C$18,MONTH(B6)),0)</f>
        <v>0</v>
      </c>
      <c r="G6" s="4">
        <v>171</v>
      </c>
      <c r="H6" s="4">
        <f t="shared" si="2"/>
        <v>17557</v>
      </c>
      <c r="I6" s="4">
        <f t="shared" si="0"/>
        <v>17642.5</v>
      </c>
      <c r="J6" s="2" t="s">
        <v>17</v>
      </c>
    </row>
    <row r="7" spans="2:10">
      <c r="B7" s="3">
        <v>46027</v>
      </c>
      <c r="C7" s="2" t="s">
        <v>9</v>
      </c>
      <c r="D7" s="2" t="s">
        <v>18</v>
      </c>
      <c r="E7" s="4">
        <f t="shared" si="1"/>
        <v>17557</v>
      </c>
      <c r="F7" s="4">
        <f>IF(DAY(B7)=1,INDEX([1]Parametros!$C$7:$C$18,MONTH(B7)),0)</f>
        <v>0</v>
      </c>
      <c r="G7" s="4">
        <v>300</v>
      </c>
      <c r="H7" s="4">
        <f t="shared" si="2"/>
        <v>17257</v>
      </c>
      <c r="I7" s="4">
        <f t="shared" si="0"/>
        <v>17407</v>
      </c>
      <c r="J7" s="2" t="s">
        <v>19</v>
      </c>
    </row>
    <row r="8" spans="2:10">
      <c r="B8" s="3">
        <v>46028</v>
      </c>
      <c r="C8" s="2" t="s">
        <v>9</v>
      </c>
      <c r="D8" s="2" t="s">
        <v>20</v>
      </c>
      <c r="E8" s="4">
        <f t="shared" si="1"/>
        <v>17257</v>
      </c>
      <c r="F8" s="4">
        <f>IF(DAY(B8)=1,INDEX([1]Parametros!$C$7:$C$18,MONTH(B8)),0)</f>
        <v>0</v>
      </c>
      <c r="G8" s="4">
        <v>251</v>
      </c>
      <c r="H8" s="4">
        <f t="shared" si="2"/>
        <v>17006</v>
      </c>
      <c r="I8" s="4">
        <f t="shared" si="0"/>
        <v>17131.5</v>
      </c>
      <c r="J8" s="2" t="s">
        <v>21</v>
      </c>
    </row>
    <row r="9" spans="2:10">
      <c r="B9" s="3">
        <v>46029</v>
      </c>
      <c r="C9" s="2" t="s">
        <v>9</v>
      </c>
      <c r="D9" s="2" t="s">
        <v>22</v>
      </c>
      <c r="E9" s="4">
        <f t="shared" si="1"/>
        <v>17006</v>
      </c>
      <c r="F9" s="4">
        <f>IF(DAY(B9)=1,INDEX([1]Parametros!$C$7:$C$18,MONTH(B9)),0)</f>
        <v>0</v>
      </c>
      <c r="G9" s="4">
        <v>296</v>
      </c>
      <c r="H9" s="4">
        <f t="shared" si="2"/>
        <v>16710</v>
      </c>
      <c r="I9" s="4">
        <f t="shared" si="0"/>
        <v>16858</v>
      </c>
      <c r="J9" s="2" t="s">
        <v>23</v>
      </c>
    </row>
    <row r="10" spans="2:10">
      <c r="B10" s="3">
        <v>46030</v>
      </c>
      <c r="C10" s="2" t="s">
        <v>9</v>
      </c>
      <c r="D10" s="2" t="s">
        <v>10</v>
      </c>
      <c r="E10" s="4">
        <f t="shared" si="1"/>
        <v>16710</v>
      </c>
      <c r="F10" s="4">
        <f>IF(DAY(B10)=1,INDEX([1]Parametros!$C$7:$C$18,MONTH(B10)),0)</f>
        <v>0</v>
      </c>
      <c r="G10" s="4">
        <v>269</v>
      </c>
      <c r="H10" s="4">
        <f t="shared" si="2"/>
        <v>16441</v>
      </c>
      <c r="I10" s="4">
        <f t="shared" si="0"/>
        <v>16575.5</v>
      </c>
      <c r="J10" s="2" t="s">
        <v>24</v>
      </c>
    </row>
    <row r="11" spans="2:10">
      <c r="B11" s="3">
        <v>46031</v>
      </c>
      <c r="C11" s="2" t="s">
        <v>9</v>
      </c>
      <c r="D11" s="2" t="s">
        <v>12</v>
      </c>
      <c r="E11" s="4">
        <f t="shared" si="1"/>
        <v>16441</v>
      </c>
      <c r="F11" s="4">
        <f>IF(DAY(B11)=1,INDEX([1]Parametros!$C$7:$C$18,MONTH(B11)),0)</f>
        <v>0</v>
      </c>
      <c r="G11" s="4">
        <v>303</v>
      </c>
      <c r="H11" s="4">
        <f t="shared" si="2"/>
        <v>16138</v>
      </c>
      <c r="I11" s="4">
        <f t="shared" si="0"/>
        <v>16289.5</v>
      </c>
      <c r="J11" s="2" t="s">
        <v>25</v>
      </c>
    </row>
    <row r="12" spans="2:10">
      <c r="B12" s="3">
        <v>46032</v>
      </c>
      <c r="C12" s="2" t="s">
        <v>9</v>
      </c>
      <c r="D12" s="2" t="s">
        <v>14</v>
      </c>
      <c r="E12" s="4">
        <f t="shared" si="1"/>
        <v>16138</v>
      </c>
      <c r="F12" s="4">
        <f>IF(DAY(B12)=1,INDEX([1]Parametros!$C$7:$C$18,MONTH(B12)),0)</f>
        <v>0</v>
      </c>
      <c r="G12" s="4">
        <v>202</v>
      </c>
      <c r="H12" s="4">
        <f t="shared" si="2"/>
        <v>15936</v>
      </c>
      <c r="I12" s="4">
        <f t="shared" si="0"/>
        <v>16037</v>
      </c>
      <c r="J12" s="2" t="s">
        <v>26</v>
      </c>
    </row>
    <row r="13" spans="2:10">
      <c r="B13" s="3">
        <v>46033</v>
      </c>
      <c r="C13" s="2" t="s">
        <v>9</v>
      </c>
      <c r="D13" s="2" t="s">
        <v>16</v>
      </c>
      <c r="E13" s="4">
        <f t="shared" si="1"/>
        <v>15936</v>
      </c>
      <c r="F13" s="4">
        <f>IF(DAY(B13)=1,INDEX([1]Parametros!$C$7:$C$18,MONTH(B13)),0)</f>
        <v>0</v>
      </c>
      <c r="G13" s="4">
        <v>158</v>
      </c>
      <c r="H13" s="4">
        <f t="shared" si="2"/>
        <v>15778</v>
      </c>
      <c r="I13" s="4">
        <f t="shared" si="0"/>
        <v>15857</v>
      </c>
      <c r="J13" s="2" t="s">
        <v>27</v>
      </c>
    </row>
    <row r="14" spans="2:10">
      <c r="B14" s="3">
        <v>46034</v>
      </c>
      <c r="C14" s="2" t="s">
        <v>9</v>
      </c>
      <c r="D14" s="2" t="s">
        <v>18</v>
      </c>
      <c r="E14" s="4">
        <f t="shared" si="1"/>
        <v>15778</v>
      </c>
      <c r="F14" s="4">
        <f>IF(DAY(B14)=1,INDEX([1]Parametros!$C$7:$C$18,MONTH(B14)),0)</f>
        <v>0</v>
      </c>
      <c r="G14" s="4">
        <v>336</v>
      </c>
      <c r="H14" s="4">
        <f t="shared" si="2"/>
        <v>15442</v>
      </c>
      <c r="I14" s="4">
        <f t="shared" si="0"/>
        <v>15610</v>
      </c>
      <c r="J14" s="2" t="s">
        <v>28</v>
      </c>
    </row>
    <row r="15" spans="2:10">
      <c r="B15" s="3">
        <v>46035</v>
      </c>
      <c r="C15" s="2" t="s">
        <v>9</v>
      </c>
      <c r="D15" s="2" t="s">
        <v>20</v>
      </c>
      <c r="E15" s="4">
        <f t="shared" si="1"/>
        <v>15442</v>
      </c>
      <c r="F15" s="4">
        <f>IF(DAY(B15)=1,INDEX([1]Parametros!$C$7:$C$18,MONTH(B15)),0)</f>
        <v>0</v>
      </c>
      <c r="G15" s="4">
        <v>311</v>
      </c>
      <c r="H15" s="4">
        <f t="shared" si="2"/>
        <v>15131</v>
      </c>
      <c r="I15" s="4">
        <f t="shared" si="0"/>
        <v>15286.5</v>
      </c>
      <c r="J15" s="2" t="s">
        <v>29</v>
      </c>
    </row>
    <row r="16" spans="2:10">
      <c r="B16" s="3">
        <v>46036</v>
      </c>
      <c r="C16" s="2" t="s">
        <v>9</v>
      </c>
      <c r="D16" s="2" t="s">
        <v>22</v>
      </c>
      <c r="E16" s="4">
        <f t="shared" si="1"/>
        <v>15131</v>
      </c>
      <c r="F16" s="4">
        <f>IF(DAY(B16)=1,INDEX([1]Parametros!$C$7:$C$18,MONTH(B16)),0)</f>
        <v>0</v>
      </c>
      <c r="G16" s="4">
        <v>290</v>
      </c>
      <c r="H16" s="4">
        <f t="shared" si="2"/>
        <v>14841</v>
      </c>
      <c r="I16" s="4">
        <f t="shared" si="0"/>
        <v>14986</v>
      </c>
      <c r="J16" s="2" t="s">
        <v>30</v>
      </c>
    </row>
    <row r="17" spans="2:10">
      <c r="B17" s="3">
        <v>46037</v>
      </c>
      <c r="C17" s="2" t="s">
        <v>9</v>
      </c>
      <c r="D17" s="2" t="s">
        <v>10</v>
      </c>
      <c r="E17" s="4">
        <f t="shared" si="1"/>
        <v>14841</v>
      </c>
      <c r="F17" s="4">
        <f>IF(DAY(B17)=1,INDEX([1]Parametros!$C$7:$C$18,MONTH(B17)),0)</f>
        <v>0</v>
      </c>
      <c r="G17" s="4">
        <v>255</v>
      </c>
      <c r="H17" s="4">
        <f t="shared" si="2"/>
        <v>14586</v>
      </c>
      <c r="I17" s="4">
        <f t="shared" si="0"/>
        <v>14713.5</v>
      </c>
      <c r="J17" s="2" t="s">
        <v>31</v>
      </c>
    </row>
    <row r="18" spans="2:10">
      <c r="B18" s="3">
        <v>46038</v>
      </c>
      <c r="C18" s="2" t="s">
        <v>9</v>
      </c>
      <c r="D18" s="2" t="s">
        <v>12</v>
      </c>
      <c r="E18" s="4">
        <f t="shared" si="1"/>
        <v>14586</v>
      </c>
      <c r="F18" s="4">
        <f>IF(DAY(B18)=1,INDEX([1]Parametros!$C$7:$C$18,MONTH(B18)),0)</f>
        <v>0</v>
      </c>
      <c r="G18" s="4">
        <v>281</v>
      </c>
      <c r="H18" s="4">
        <f t="shared" si="2"/>
        <v>14305</v>
      </c>
      <c r="I18" s="4">
        <f t="shared" si="0"/>
        <v>14445.5</v>
      </c>
      <c r="J18" s="2" t="s">
        <v>32</v>
      </c>
    </row>
    <row r="19" spans="2:10">
      <c r="B19" s="3">
        <v>46039</v>
      </c>
      <c r="C19" s="2" t="s">
        <v>9</v>
      </c>
      <c r="D19" s="2" t="s">
        <v>14</v>
      </c>
      <c r="E19" s="4">
        <f t="shared" si="1"/>
        <v>14305</v>
      </c>
      <c r="F19" s="4">
        <f>IF(DAY(B19)=1,INDEX([1]Parametros!$C$7:$C$18,MONTH(B19)),0)</f>
        <v>0</v>
      </c>
      <c r="G19" s="4">
        <v>206</v>
      </c>
      <c r="H19" s="4">
        <f t="shared" si="2"/>
        <v>14099</v>
      </c>
      <c r="I19" s="4">
        <f t="shared" si="0"/>
        <v>14202</v>
      </c>
      <c r="J19" s="2" t="s">
        <v>33</v>
      </c>
    </row>
    <row r="20" spans="2:10">
      <c r="B20" s="3">
        <v>46040</v>
      </c>
      <c r="C20" s="2" t="s">
        <v>9</v>
      </c>
      <c r="D20" s="2" t="s">
        <v>16</v>
      </c>
      <c r="E20" s="4">
        <f t="shared" si="1"/>
        <v>14099</v>
      </c>
      <c r="F20" s="4">
        <f>IF(DAY(B20)=1,INDEX([1]Parametros!$C$7:$C$18,MONTH(B20)),0)</f>
        <v>0</v>
      </c>
      <c r="G20" s="4">
        <v>189</v>
      </c>
      <c r="H20" s="4">
        <f t="shared" si="2"/>
        <v>13910</v>
      </c>
      <c r="I20" s="4">
        <f t="shared" si="0"/>
        <v>14004.5</v>
      </c>
      <c r="J20" s="2" t="s">
        <v>34</v>
      </c>
    </row>
    <row r="21" spans="2:10">
      <c r="B21" s="3">
        <v>46041</v>
      </c>
      <c r="C21" s="2" t="s">
        <v>9</v>
      </c>
      <c r="D21" s="2" t="s">
        <v>18</v>
      </c>
      <c r="E21" s="4">
        <f t="shared" si="1"/>
        <v>13910</v>
      </c>
      <c r="F21" s="4">
        <f>IF(DAY(B21)=1,INDEX([1]Parametros!$C$7:$C$18,MONTH(B21)),0)</f>
        <v>0</v>
      </c>
      <c r="G21" s="4">
        <v>305</v>
      </c>
      <c r="H21" s="4">
        <f t="shared" si="2"/>
        <v>13605</v>
      </c>
      <c r="I21" s="4">
        <f t="shared" si="0"/>
        <v>13757.5</v>
      </c>
      <c r="J21" s="2" t="s">
        <v>35</v>
      </c>
    </row>
    <row r="22" spans="2:10">
      <c r="B22" s="3">
        <v>46042</v>
      </c>
      <c r="C22" s="2" t="s">
        <v>9</v>
      </c>
      <c r="D22" s="2" t="s">
        <v>20</v>
      </c>
      <c r="E22" s="4">
        <f t="shared" si="1"/>
        <v>13605</v>
      </c>
      <c r="F22" s="4">
        <f>IF(DAY(B22)=1,INDEX([1]Parametros!$C$7:$C$18,MONTH(B22)),0)</f>
        <v>0</v>
      </c>
      <c r="G22" s="4">
        <v>290</v>
      </c>
      <c r="H22" s="4">
        <f t="shared" si="2"/>
        <v>13315</v>
      </c>
      <c r="I22" s="4">
        <f t="shared" si="0"/>
        <v>13460</v>
      </c>
      <c r="J22" s="2" t="s">
        <v>36</v>
      </c>
    </row>
    <row r="23" spans="2:10">
      <c r="B23" s="3">
        <v>46043</v>
      </c>
      <c r="C23" s="2" t="s">
        <v>9</v>
      </c>
      <c r="D23" s="2" t="s">
        <v>22</v>
      </c>
      <c r="E23" s="4">
        <f t="shared" si="1"/>
        <v>13315</v>
      </c>
      <c r="F23" s="4">
        <f>IF(DAY(B23)=1,INDEX([1]Parametros!$C$7:$C$18,MONTH(B23)),0)</f>
        <v>0</v>
      </c>
      <c r="G23" s="4">
        <v>302</v>
      </c>
      <c r="H23" s="4">
        <f t="shared" si="2"/>
        <v>13013</v>
      </c>
      <c r="I23" s="4">
        <f t="shared" si="0"/>
        <v>13164</v>
      </c>
      <c r="J23" s="2" t="s">
        <v>37</v>
      </c>
    </row>
    <row r="24" spans="2:10">
      <c r="B24" s="3">
        <v>46044</v>
      </c>
      <c r="C24" s="2" t="s">
        <v>9</v>
      </c>
      <c r="D24" s="2" t="s">
        <v>10</v>
      </c>
      <c r="E24" s="4">
        <f t="shared" si="1"/>
        <v>13013</v>
      </c>
      <c r="F24" s="4">
        <f>IF(DAY(B24)=1,INDEX([1]Parametros!$C$7:$C$18,MONTH(B24)),0)</f>
        <v>0</v>
      </c>
      <c r="G24" s="4">
        <v>235</v>
      </c>
      <c r="H24" s="4">
        <f t="shared" si="2"/>
        <v>12778</v>
      </c>
      <c r="I24" s="4">
        <f t="shared" si="0"/>
        <v>12895.5</v>
      </c>
      <c r="J24" s="2" t="s">
        <v>38</v>
      </c>
    </row>
    <row r="25" spans="2:10">
      <c r="B25" s="3">
        <v>46045</v>
      </c>
      <c r="C25" s="2" t="s">
        <v>9</v>
      </c>
      <c r="D25" s="2" t="s">
        <v>12</v>
      </c>
      <c r="E25" s="4">
        <f t="shared" si="1"/>
        <v>12778</v>
      </c>
      <c r="F25" s="4">
        <f>IF(DAY(B25)=1,INDEX([1]Parametros!$C$7:$C$18,MONTH(B25)),0)</f>
        <v>0</v>
      </c>
      <c r="G25" s="4">
        <v>300</v>
      </c>
      <c r="H25" s="4">
        <f t="shared" si="2"/>
        <v>12478</v>
      </c>
      <c r="I25" s="4">
        <f t="shared" si="0"/>
        <v>12628</v>
      </c>
      <c r="J25" s="2" t="s">
        <v>39</v>
      </c>
    </row>
    <row r="26" spans="2:10">
      <c r="B26" s="3">
        <v>46046</v>
      </c>
      <c r="C26" s="2" t="s">
        <v>9</v>
      </c>
      <c r="D26" s="2" t="s">
        <v>14</v>
      </c>
      <c r="E26" s="4">
        <f t="shared" si="1"/>
        <v>12478</v>
      </c>
      <c r="F26" s="4">
        <f>IF(DAY(B26)=1,INDEX([1]Parametros!$C$7:$C$18,MONTH(B26)),0)</f>
        <v>0</v>
      </c>
      <c r="G26" s="4">
        <v>212</v>
      </c>
      <c r="H26" s="4">
        <f t="shared" si="2"/>
        <v>12266</v>
      </c>
      <c r="I26" s="4">
        <f t="shared" si="0"/>
        <v>12372</v>
      </c>
      <c r="J26" s="2" t="s">
        <v>40</v>
      </c>
    </row>
    <row r="27" spans="2:10">
      <c r="B27" s="3">
        <v>46047</v>
      </c>
      <c r="C27" s="2" t="s">
        <v>9</v>
      </c>
      <c r="D27" s="2" t="s">
        <v>16</v>
      </c>
      <c r="E27" s="4">
        <f t="shared" si="1"/>
        <v>12266</v>
      </c>
      <c r="F27" s="4">
        <f>IF(DAY(B27)=1,INDEX([1]Parametros!$C$7:$C$18,MONTH(B27)),0)</f>
        <v>0</v>
      </c>
      <c r="G27" s="4">
        <v>176</v>
      </c>
      <c r="H27" s="4">
        <f t="shared" si="2"/>
        <v>12090</v>
      </c>
      <c r="I27" s="4">
        <f t="shared" si="0"/>
        <v>12178</v>
      </c>
      <c r="J27" s="2" t="s">
        <v>41</v>
      </c>
    </row>
    <row r="28" spans="2:10">
      <c r="B28" s="3">
        <v>46048</v>
      </c>
      <c r="C28" s="2" t="s">
        <v>9</v>
      </c>
      <c r="D28" s="2" t="s">
        <v>18</v>
      </c>
      <c r="E28" s="4">
        <f t="shared" si="1"/>
        <v>12090</v>
      </c>
      <c r="F28" s="4">
        <f>IF(DAY(B28)=1,INDEX([1]Parametros!$C$7:$C$18,MONTH(B28)),0)</f>
        <v>0</v>
      </c>
      <c r="G28" s="4">
        <v>297</v>
      </c>
      <c r="H28" s="4">
        <f t="shared" si="2"/>
        <v>11793</v>
      </c>
      <c r="I28" s="4">
        <f t="shared" si="0"/>
        <v>11941.5</v>
      </c>
      <c r="J28" s="2" t="s">
        <v>42</v>
      </c>
    </row>
    <row r="29" spans="2:10">
      <c r="B29" s="3">
        <v>46049</v>
      </c>
      <c r="C29" s="2" t="s">
        <v>9</v>
      </c>
      <c r="D29" s="2" t="s">
        <v>20</v>
      </c>
      <c r="E29" s="4">
        <f t="shared" si="1"/>
        <v>11793</v>
      </c>
      <c r="F29" s="4">
        <f>IF(DAY(B29)=1,INDEX([1]Parametros!$C$7:$C$18,MONTH(B29)),0)</f>
        <v>0</v>
      </c>
      <c r="G29" s="4">
        <v>303</v>
      </c>
      <c r="H29" s="4">
        <f t="shared" si="2"/>
        <v>11490</v>
      </c>
      <c r="I29" s="4">
        <f t="shared" si="0"/>
        <v>11641.5</v>
      </c>
      <c r="J29" s="2" t="s">
        <v>43</v>
      </c>
    </row>
    <row r="30" spans="2:10">
      <c r="B30" s="3">
        <v>46050</v>
      </c>
      <c r="C30" s="2" t="s">
        <v>9</v>
      </c>
      <c r="D30" s="2" t="s">
        <v>22</v>
      </c>
      <c r="E30" s="4">
        <f t="shared" si="1"/>
        <v>11490</v>
      </c>
      <c r="F30" s="4">
        <f>IF(DAY(B30)=1,INDEX([1]Parametros!$C$7:$C$18,MONTH(B30)),0)</f>
        <v>0</v>
      </c>
      <c r="G30" s="4">
        <v>294</v>
      </c>
      <c r="H30" s="4">
        <f t="shared" si="2"/>
        <v>11196</v>
      </c>
      <c r="I30" s="4">
        <f t="shared" si="0"/>
        <v>11343</v>
      </c>
      <c r="J30" s="2" t="s">
        <v>44</v>
      </c>
    </row>
    <row r="31" spans="2:10">
      <c r="B31" s="3">
        <v>46051</v>
      </c>
      <c r="C31" s="2" t="s">
        <v>9</v>
      </c>
      <c r="D31" s="2" t="s">
        <v>10</v>
      </c>
      <c r="E31" s="4">
        <f t="shared" si="1"/>
        <v>11196</v>
      </c>
      <c r="F31" s="4">
        <f>IF(DAY(B31)=1,INDEX([1]Parametros!$C$7:$C$18,MONTH(B31)),0)</f>
        <v>0</v>
      </c>
      <c r="G31" s="4">
        <v>298</v>
      </c>
      <c r="H31" s="4">
        <f t="shared" si="2"/>
        <v>10898</v>
      </c>
      <c r="I31" s="4">
        <f t="shared" si="0"/>
        <v>11047</v>
      </c>
      <c r="J31" s="2" t="s">
        <v>45</v>
      </c>
    </row>
    <row r="32" spans="2:10">
      <c r="B32" s="3">
        <v>46052</v>
      </c>
      <c r="C32" s="2" t="s">
        <v>9</v>
      </c>
      <c r="D32" s="2" t="s">
        <v>12</v>
      </c>
      <c r="E32" s="4">
        <f t="shared" si="1"/>
        <v>10898</v>
      </c>
      <c r="F32" s="4">
        <f>IF(DAY(B32)=1,INDEX([1]Parametros!$C$7:$C$18,MONTH(B32)),0)</f>
        <v>0</v>
      </c>
      <c r="G32" s="4">
        <v>278</v>
      </c>
      <c r="H32" s="4">
        <f t="shared" si="2"/>
        <v>10620</v>
      </c>
      <c r="I32" s="4">
        <f t="shared" si="0"/>
        <v>10759</v>
      </c>
      <c r="J32" s="2" t="s">
        <v>46</v>
      </c>
    </row>
    <row r="33" spans="2:10">
      <c r="B33" s="3">
        <v>46053</v>
      </c>
      <c r="C33" s="2" t="s">
        <v>9</v>
      </c>
      <c r="D33" s="2" t="s">
        <v>14</v>
      </c>
      <c r="E33" s="4">
        <f t="shared" si="1"/>
        <v>10620</v>
      </c>
      <c r="F33" s="4">
        <f>IF(DAY(B33)=1,INDEX([1]Parametros!$C$7:$C$18,MONTH(B33)),0)</f>
        <v>0</v>
      </c>
      <c r="G33" s="4">
        <v>215</v>
      </c>
      <c r="H33" s="4">
        <f t="shared" si="2"/>
        <v>10405</v>
      </c>
      <c r="I33" s="4">
        <f t="shared" si="0"/>
        <v>10512.5</v>
      </c>
      <c r="J33" s="2" t="s">
        <v>47</v>
      </c>
    </row>
    <row r="34" spans="2:10">
      <c r="B34" s="3">
        <v>46054</v>
      </c>
      <c r="C34" s="2" t="s">
        <v>48</v>
      </c>
      <c r="D34" s="2" t="s">
        <v>16</v>
      </c>
      <c r="E34" s="4">
        <f t="shared" si="1"/>
        <v>10405</v>
      </c>
      <c r="F34" s="4">
        <f>IF(DAY(B34)=1,INDEX([1]Parametros!$C$7:$C$18,MONTH(B34)),0)</f>
        <v>7600</v>
      </c>
      <c r="G34" s="4">
        <v>120</v>
      </c>
      <c r="H34" s="4">
        <f t="shared" si="2"/>
        <v>17885</v>
      </c>
      <c r="I34" s="4">
        <f t="shared" si="0"/>
        <v>14145</v>
      </c>
      <c r="J34" s="2" t="s">
        <v>49</v>
      </c>
    </row>
    <row r="35" spans="2:10">
      <c r="B35" s="3">
        <v>46055</v>
      </c>
      <c r="C35" s="2" t="s">
        <v>48</v>
      </c>
      <c r="D35" s="2" t="s">
        <v>18</v>
      </c>
      <c r="E35" s="4">
        <f t="shared" si="1"/>
        <v>17885</v>
      </c>
      <c r="F35" s="4">
        <f>IF(DAY(B35)=1,INDEX([1]Parametros!$C$7:$C$18,MONTH(B35)),0)</f>
        <v>0</v>
      </c>
      <c r="G35" s="4">
        <v>240</v>
      </c>
      <c r="H35" s="4">
        <f t="shared" si="2"/>
        <v>17645</v>
      </c>
      <c r="I35" s="4">
        <f t="shared" si="0"/>
        <v>17765</v>
      </c>
      <c r="J35" s="2" t="s">
        <v>50</v>
      </c>
    </row>
    <row r="36" spans="2:10">
      <c r="B36" s="3">
        <v>46056</v>
      </c>
      <c r="C36" s="2" t="s">
        <v>48</v>
      </c>
      <c r="D36" s="2" t="s">
        <v>20</v>
      </c>
      <c r="E36" s="4">
        <f t="shared" si="1"/>
        <v>17645</v>
      </c>
      <c r="F36" s="4">
        <f>IF(DAY(B36)=1,INDEX([1]Parametros!$C$7:$C$18,MONTH(B36)),0)</f>
        <v>0</v>
      </c>
      <c r="G36" s="4">
        <v>285</v>
      </c>
      <c r="H36" s="4">
        <f t="shared" si="2"/>
        <v>17360</v>
      </c>
      <c r="I36" s="4">
        <f t="shared" si="0"/>
        <v>17502.5</v>
      </c>
      <c r="J36" s="2" t="s">
        <v>51</v>
      </c>
    </row>
    <row r="37" spans="2:10">
      <c r="B37" s="3">
        <v>46057</v>
      </c>
      <c r="C37" s="2" t="s">
        <v>48</v>
      </c>
      <c r="D37" s="2" t="s">
        <v>22</v>
      </c>
      <c r="E37" s="4">
        <f t="shared" si="1"/>
        <v>17360</v>
      </c>
      <c r="F37" s="4">
        <f>IF(DAY(B37)=1,INDEX([1]Parametros!$C$7:$C$18,MONTH(B37)),0)</f>
        <v>0</v>
      </c>
      <c r="G37" s="4">
        <v>271</v>
      </c>
      <c r="H37" s="4">
        <f t="shared" si="2"/>
        <v>17089</v>
      </c>
      <c r="I37" s="4">
        <f t="shared" si="0"/>
        <v>17224.5</v>
      </c>
      <c r="J37" s="2" t="s">
        <v>52</v>
      </c>
    </row>
    <row r="38" spans="2:10">
      <c r="B38" s="3">
        <v>46058</v>
      </c>
      <c r="C38" s="2" t="s">
        <v>48</v>
      </c>
      <c r="D38" s="2" t="s">
        <v>10</v>
      </c>
      <c r="E38" s="4">
        <f t="shared" si="1"/>
        <v>17089</v>
      </c>
      <c r="F38" s="4">
        <f>IF(DAY(B38)=1,INDEX([1]Parametros!$C$7:$C$18,MONTH(B38)),0)</f>
        <v>0</v>
      </c>
      <c r="G38" s="4">
        <v>310</v>
      </c>
      <c r="H38" s="4">
        <f t="shared" si="2"/>
        <v>16779</v>
      </c>
      <c r="I38" s="4">
        <f t="shared" si="0"/>
        <v>16934</v>
      </c>
      <c r="J38" s="2" t="s">
        <v>53</v>
      </c>
    </row>
    <row r="39" spans="2:10">
      <c r="B39" s="3">
        <v>46059</v>
      </c>
      <c r="C39" s="2" t="s">
        <v>48</v>
      </c>
      <c r="D39" s="2" t="s">
        <v>12</v>
      </c>
      <c r="E39" s="4">
        <f t="shared" si="1"/>
        <v>16779</v>
      </c>
      <c r="F39" s="4">
        <f>IF(DAY(B39)=1,INDEX([1]Parametros!$C$7:$C$18,MONTH(B39)),0)</f>
        <v>0</v>
      </c>
      <c r="G39" s="4">
        <v>338</v>
      </c>
      <c r="H39" s="4">
        <f t="shared" si="2"/>
        <v>16441</v>
      </c>
      <c r="I39" s="4">
        <f t="shared" si="0"/>
        <v>16610</v>
      </c>
      <c r="J39" s="2" t="s">
        <v>54</v>
      </c>
    </row>
    <row r="40" spans="2:10">
      <c r="B40" s="3">
        <v>46060</v>
      </c>
      <c r="C40" s="2" t="s">
        <v>48</v>
      </c>
      <c r="D40" s="2" t="s">
        <v>14</v>
      </c>
      <c r="E40" s="4">
        <f t="shared" si="1"/>
        <v>16441</v>
      </c>
      <c r="F40" s="4">
        <f>IF(DAY(B40)=1,INDEX([1]Parametros!$C$7:$C$18,MONTH(B40)),0)</f>
        <v>0</v>
      </c>
      <c r="G40" s="4">
        <v>171</v>
      </c>
      <c r="H40" s="4">
        <f t="shared" si="2"/>
        <v>16270</v>
      </c>
      <c r="I40" s="4">
        <f t="shared" si="0"/>
        <v>16355.5</v>
      </c>
      <c r="J40" s="2" t="s">
        <v>55</v>
      </c>
    </row>
    <row r="41" spans="2:10">
      <c r="B41" s="3">
        <v>46061</v>
      </c>
      <c r="C41" s="2" t="s">
        <v>48</v>
      </c>
      <c r="D41" s="2" t="s">
        <v>16</v>
      </c>
      <c r="E41" s="4">
        <f t="shared" si="1"/>
        <v>16270</v>
      </c>
      <c r="F41" s="4">
        <f>IF(DAY(B41)=1,INDEX([1]Parametros!$C$7:$C$18,MONTH(B41)),0)</f>
        <v>0</v>
      </c>
      <c r="G41" s="4">
        <v>180</v>
      </c>
      <c r="H41" s="4">
        <f t="shared" si="2"/>
        <v>16090</v>
      </c>
      <c r="I41" s="4">
        <f t="shared" si="0"/>
        <v>16180</v>
      </c>
      <c r="J41" s="2" t="s">
        <v>56</v>
      </c>
    </row>
    <row r="42" spans="2:10">
      <c r="B42" s="3">
        <v>46062</v>
      </c>
      <c r="C42" s="2" t="s">
        <v>48</v>
      </c>
      <c r="D42" s="2" t="s">
        <v>18</v>
      </c>
      <c r="E42" s="4">
        <f t="shared" si="1"/>
        <v>16090</v>
      </c>
      <c r="F42" s="4">
        <f>IF(DAY(B42)=1,INDEX([1]Parametros!$C$7:$C$18,MONTH(B42)),0)</f>
        <v>0</v>
      </c>
      <c r="G42" s="4">
        <v>285</v>
      </c>
      <c r="H42" s="4">
        <f t="shared" si="2"/>
        <v>15805</v>
      </c>
      <c r="I42" s="4">
        <f t="shared" si="0"/>
        <v>15947.5</v>
      </c>
      <c r="J42" s="2" t="s">
        <v>57</v>
      </c>
    </row>
    <row r="43" spans="2:10">
      <c r="B43" s="3">
        <v>46063</v>
      </c>
      <c r="C43" s="2" t="s">
        <v>48</v>
      </c>
      <c r="D43" s="2" t="s">
        <v>20</v>
      </c>
      <c r="E43" s="4">
        <f t="shared" si="1"/>
        <v>15805</v>
      </c>
      <c r="F43" s="4">
        <f>IF(DAY(B43)=1,INDEX([1]Parametros!$C$7:$C$18,MONTH(B43)),0)</f>
        <v>0</v>
      </c>
      <c r="G43" s="4">
        <v>300</v>
      </c>
      <c r="H43" s="4">
        <f t="shared" si="2"/>
        <v>15505</v>
      </c>
      <c r="I43" s="4">
        <f t="shared" si="0"/>
        <v>15655</v>
      </c>
      <c r="J43" s="2" t="s">
        <v>58</v>
      </c>
    </row>
    <row r="44" spans="2:10">
      <c r="B44" s="3">
        <v>46064</v>
      </c>
      <c r="C44" s="2" t="s">
        <v>48</v>
      </c>
      <c r="D44" s="2" t="s">
        <v>22</v>
      </c>
      <c r="E44" s="4">
        <f t="shared" si="1"/>
        <v>15505</v>
      </c>
      <c r="F44" s="4">
        <f>IF(DAY(B44)=1,INDEX([1]Parametros!$C$7:$C$18,MONTH(B44)),0)</f>
        <v>0</v>
      </c>
      <c r="G44" s="4">
        <v>288</v>
      </c>
      <c r="H44" s="4">
        <f t="shared" si="2"/>
        <v>15217</v>
      </c>
      <c r="I44" s="4">
        <f t="shared" si="0"/>
        <v>15361</v>
      </c>
      <c r="J44" s="2" t="s">
        <v>59</v>
      </c>
    </row>
    <row r="45" spans="2:10">
      <c r="B45" s="3">
        <v>46065</v>
      </c>
      <c r="C45" s="2" t="s">
        <v>48</v>
      </c>
      <c r="D45" s="2" t="s">
        <v>10</v>
      </c>
      <c r="E45" s="4">
        <f t="shared" si="1"/>
        <v>15217</v>
      </c>
      <c r="F45" s="4">
        <f>IF(DAY(B45)=1,INDEX([1]Parametros!$C$7:$C$18,MONTH(B45)),0)</f>
        <v>0</v>
      </c>
      <c r="G45" s="4">
        <v>288</v>
      </c>
      <c r="H45" s="4">
        <f t="shared" si="2"/>
        <v>14929</v>
      </c>
      <c r="I45" s="4">
        <f t="shared" si="0"/>
        <v>15073</v>
      </c>
      <c r="J45" s="2" t="s">
        <v>60</v>
      </c>
    </row>
    <row r="46" spans="2:10">
      <c r="B46" s="3">
        <v>46066</v>
      </c>
      <c r="C46" s="2" t="s">
        <v>48</v>
      </c>
      <c r="D46" s="2" t="s">
        <v>12</v>
      </c>
      <c r="E46" s="4">
        <f t="shared" si="1"/>
        <v>14929</v>
      </c>
      <c r="F46" s="4">
        <f>IF(DAY(B46)=1,INDEX([1]Parametros!$C$7:$C$18,MONTH(B46)),0)</f>
        <v>0</v>
      </c>
      <c r="G46" s="4">
        <v>342</v>
      </c>
      <c r="H46" s="4">
        <f t="shared" si="2"/>
        <v>14587</v>
      </c>
      <c r="I46" s="4">
        <f t="shared" si="0"/>
        <v>14758</v>
      </c>
      <c r="J46" s="2" t="s">
        <v>61</v>
      </c>
    </row>
    <row r="47" spans="2:10">
      <c r="B47" s="3">
        <v>46067</v>
      </c>
      <c r="C47" s="2" t="s">
        <v>48</v>
      </c>
      <c r="D47" s="2" t="s">
        <v>14</v>
      </c>
      <c r="E47" s="4">
        <f t="shared" si="1"/>
        <v>14587</v>
      </c>
      <c r="F47" s="4">
        <f>IF(DAY(B47)=1,INDEX([1]Parametros!$C$7:$C$18,MONTH(B47)),0)</f>
        <v>0</v>
      </c>
      <c r="G47" s="4">
        <v>223</v>
      </c>
      <c r="H47" s="4">
        <f t="shared" si="2"/>
        <v>14364</v>
      </c>
      <c r="I47" s="4">
        <f t="shared" si="0"/>
        <v>14475.5</v>
      </c>
      <c r="J47" s="2" t="s">
        <v>62</v>
      </c>
    </row>
    <row r="48" spans="2:10">
      <c r="B48" s="3">
        <v>46068</v>
      </c>
      <c r="C48" s="2" t="s">
        <v>48</v>
      </c>
      <c r="D48" s="2" t="s">
        <v>16</v>
      </c>
      <c r="E48" s="4">
        <f t="shared" si="1"/>
        <v>14364</v>
      </c>
      <c r="F48" s="4">
        <f>IF(DAY(B48)=1,INDEX([1]Parametros!$C$7:$C$18,MONTH(B48)),0)</f>
        <v>0</v>
      </c>
      <c r="G48" s="4">
        <v>167</v>
      </c>
      <c r="H48" s="4">
        <f t="shared" si="2"/>
        <v>14197</v>
      </c>
      <c r="I48" s="4">
        <f t="shared" si="0"/>
        <v>14280.5</v>
      </c>
      <c r="J48" s="2" t="s">
        <v>63</v>
      </c>
    </row>
    <row r="49" spans="2:10">
      <c r="B49" s="3">
        <v>46069</v>
      </c>
      <c r="C49" s="2" t="s">
        <v>48</v>
      </c>
      <c r="D49" s="2" t="s">
        <v>18</v>
      </c>
      <c r="E49" s="4">
        <f t="shared" si="1"/>
        <v>14197</v>
      </c>
      <c r="F49" s="4">
        <f>IF(DAY(B49)=1,INDEX([1]Parametros!$C$7:$C$18,MONTH(B49)),0)</f>
        <v>0</v>
      </c>
      <c r="G49" s="4">
        <v>332</v>
      </c>
      <c r="H49" s="4">
        <f t="shared" si="2"/>
        <v>13865</v>
      </c>
      <c r="I49" s="4">
        <f t="shared" si="0"/>
        <v>14031</v>
      </c>
      <c r="J49" s="2" t="s">
        <v>64</v>
      </c>
    </row>
    <row r="50" spans="2:10">
      <c r="B50" s="3">
        <v>46070</v>
      </c>
      <c r="C50" s="2" t="s">
        <v>48</v>
      </c>
      <c r="D50" s="2" t="s">
        <v>20</v>
      </c>
      <c r="E50" s="4">
        <f t="shared" si="1"/>
        <v>13865</v>
      </c>
      <c r="F50" s="4">
        <f>IF(DAY(B50)=1,INDEX([1]Parametros!$C$7:$C$18,MONTH(B50)),0)</f>
        <v>0</v>
      </c>
      <c r="G50" s="4">
        <v>315</v>
      </c>
      <c r="H50" s="4">
        <f t="shared" si="2"/>
        <v>13550</v>
      </c>
      <c r="I50" s="4">
        <f t="shared" si="0"/>
        <v>13707.5</v>
      </c>
      <c r="J50" s="2" t="s">
        <v>65</v>
      </c>
    </row>
    <row r="51" spans="2:10">
      <c r="B51" s="3">
        <v>46071</v>
      </c>
      <c r="C51" s="2" t="s">
        <v>48</v>
      </c>
      <c r="D51" s="2" t="s">
        <v>22</v>
      </c>
      <c r="E51" s="4">
        <f t="shared" si="1"/>
        <v>13550</v>
      </c>
      <c r="F51" s="4">
        <f>IF(DAY(B51)=1,INDEX([1]Parametros!$C$7:$C$18,MONTH(B51)),0)</f>
        <v>0</v>
      </c>
      <c r="G51" s="4">
        <v>279</v>
      </c>
      <c r="H51" s="4">
        <f t="shared" si="2"/>
        <v>13271</v>
      </c>
      <c r="I51" s="4">
        <f t="shared" si="0"/>
        <v>13410.5</v>
      </c>
      <c r="J51" s="2" t="s">
        <v>66</v>
      </c>
    </row>
    <row r="52" spans="2:10">
      <c r="B52" s="3">
        <v>46072</v>
      </c>
      <c r="C52" s="2" t="s">
        <v>48</v>
      </c>
      <c r="D52" s="2" t="s">
        <v>10</v>
      </c>
      <c r="E52" s="4">
        <f t="shared" si="1"/>
        <v>13271</v>
      </c>
      <c r="F52" s="4">
        <f>IF(DAY(B52)=1,INDEX([1]Parametros!$C$7:$C$18,MONTH(B52)),0)</f>
        <v>0</v>
      </c>
      <c r="G52" s="4">
        <v>265</v>
      </c>
      <c r="H52" s="4">
        <f t="shared" si="2"/>
        <v>13006</v>
      </c>
      <c r="I52" s="4">
        <f t="shared" si="0"/>
        <v>13138.5</v>
      </c>
      <c r="J52" s="2" t="s">
        <v>67</v>
      </c>
    </row>
    <row r="53" spans="2:10">
      <c r="B53" s="3">
        <v>46073</v>
      </c>
      <c r="C53" s="2" t="s">
        <v>48</v>
      </c>
      <c r="D53" s="2" t="s">
        <v>12</v>
      </c>
      <c r="E53" s="4">
        <f t="shared" si="1"/>
        <v>13006</v>
      </c>
      <c r="F53" s="4">
        <f>IF(DAY(B53)=1,INDEX([1]Parametros!$C$7:$C$18,MONTH(B53)),0)</f>
        <v>0</v>
      </c>
      <c r="G53" s="4">
        <v>306</v>
      </c>
      <c r="H53" s="4">
        <f t="shared" si="2"/>
        <v>12700</v>
      </c>
      <c r="I53" s="4">
        <f t="shared" si="0"/>
        <v>12853</v>
      </c>
      <c r="J53" s="2" t="s">
        <v>68</v>
      </c>
    </row>
    <row r="54" spans="2:10">
      <c r="B54" s="3">
        <v>46074</v>
      </c>
      <c r="C54" s="2" t="s">
        <v>48</v>
      </c>
      <c r="D54" s="2" t="s">
        <v>14</v>
      </c>
      <c r="E54" s="4">
        <f t="shared" si="1"/>
        <v>12700</v>
      </c>
      <c r="F54" s="4">
        <f>IF(DAY(B54)=1,INDEX([1]Parametros!$C$7:$C$18,MONTH(B54)),0)</f>
        <v>0</v>
      </c>
      <c r="G54" s="4">
        <v>219</v>
      </c>
      <c r="H54" s="4">
        <f t="shared" si="2"/>
        <v>12481</v>
      </c>
      <c r="I54" s="4">
        <f t="shared" si="0"/>
        <v>12590.5</v>
      </c>
      <c r="J54" s="2" t="s">
        <v>69</v>
      </c>
    </row>
    <row r="55" spans="2:10">
      <c r="B55" s="3">
        <v>46075</v>
      </c>
      <c r="C55" s="2" t="s">
        <v>48</v>
      </c>
      <c r="D55" s="2" t="s">
        <v>16</v>
      </c>
      <c r="E55" s="4">
        <f t="shared" si="1"/>
        <v>12481</v>
      </c>
      <c r="F55" s="4">
        <f>IF(DAY(B55)=1,INDEX([1]Parametros!$C$7:$C$18,MONTH(B55)),0)</f>
        <v>0</v>
      </c>
      <c r="G55" s="4">
        <v>150</v>
      </c>
      <c r="H55" s="4">
        <f t="shared" si="2"/>
        <v>12331</v>
      </c>
      <c r="I55" s="4">
        <f t="shared" si="0"/>
        <v>12406</v>
      </c>
      <c r="J55" s="2" t="s">
        <v>70</v>
      </c>
    </row>
    <row r="56" spans="2:10">
      <c r="B56" s="3">
        <v>46076</v>
      </c>
      <c r="C56" s="2" t="s">
        <v>48</v>
      </c>
      <c r="D56" s="2" t="s">
        <v>18</v>
      </c>
      <c r="E56" s="4">
        <f t="shared" si="1"/>
        <v>12331</v>
      </c>
      <c r="F56" s="4">
        <f>IF(DAY(B56)=1,INDEX([1]Parametros!$C$7:$C$18,MONTH(B56)),0)</f>
        <v>0</v>
      </c>
      <c r="G56" s="4">
        <v>379</v>
      </c>
      <c r="H56" s="4">
        <f t="shared" si="2"/>
        <v>11952</v>
      </c>
      <c r="I56" s="4">
        <f t="shared" si="0"/>
        <v>12141.5</v>
      </c>
      <c r="J56" s="2" t="s">
        <v>71</v>
      </c>
    </row>
    <row r="57" spans="2:10">
      <c r="B57" s="3">
        <v>46077</v>
      </c>
      <c r="C57" s="2" t="s">
        <v>48</v>
      </c>
      <c r="D57" s="2" t="s">
        <v>20</v>
      </c>
      <c r="E57" s="4">
        <f t="shared" si="1"/>
        <v>11952</v>
      </c>
      <c r="F57" s="4">
        <f>IF(DAY(B57)=1,INDEX([1]Parametros!$C$7:$C$18,MONTH(B57)),0)</f>
        <v>0</v>
      </c>
      <c r="G57" s="4">
        <v>279</v>
      </c>
      <c r="H57" s="4">
        <f t="shared" si="2"/>
        <v>11673</v>
      </c>
      <c r="I57" s="4">
        <f t="shared" si="0"/>
        <v>11812.5</v>
      </c>
      <c r="J57" s="2" t="s">
        <v>72</v>
      </c>
    </row>
    <row r="58" spans="2:10">
      <c r="B58" s="3">
        <v>46078</v>
      </c>
      <c r="C58" s="2" t="s">
        <v>48</v>
      </c>
      <c r="D58" s="2" t="s">
        <v>22</v>
      </c>
      <c r="E58" s="4">
        <f t="shared" si="1"/>
        <v>11673</v>
      </c>
      <c r="F58" s="4">
        <f>IF(DAY(B58)=1,INDEX([1]Parametros!$C$7:$C$18,MONTH(B58)),0)</f>
        <v>0</v>
      </c>
      <c r="G58" s="4">
        <v>266</v>
      </c>
      <c r="H58" s="4">
        <f t="shared" si="2"/>
        <v>11407</v>
      </c>
      <c r="I58" s="4">
        <f t="shared" si="0"/>
        <v>11540</v>
      </c>
      <c r="J58" s="2" t="s">
        <v>73</v>
      </c>
    </row>
    <row r="59" spans="2:10">
      <c r="B59" s="3">
        <v>46079</v>
      </c>
      <c r="C59" s="2" t="s">
        <v>48</v>
      </c>
      <c r="D59" s="2" t="s">
        <v>10</v>
      </c>
      <c r="E59" s="4">
        <f t="shared" si="1"/>
        <v>11407</v>
      </c>
      <c r="F59" s="4">
        <f>IF(DAY(B59)=1,INDEX([1]Parametros!$C$7:$C$18,MONTH(B59)),0)</f>
        <v>0</v>
      </c>
      <c r="G59" s="4">
        <v>307</v>
      </c>
      <c r="H59" s="4">
        <f t="shared" si="2"/>
        <v>11100</v>
      </c>
      <c r="I59" s="4">
        <f t="shared" si="0"/>
        <v>11253.5</v>
      </c>
      <c r="J59" s="2" t="s">
        <v>74</v>
      </c>
    </row>
    <row r="60" spans="2:10">
      <c r="B60" s="3">
        <v>46080</v>
      </c>
      <c r="C60" s="2" t="s">
        <v>48</v>
      </c>
      <c r="D60" s="2" t="s">
        <v>12</v>
      </c>
      <c r="E60" s="4">
        <f t="shared" si="1"/>
        <v>11100</v>
      </c>
      <c r="F60" s="4">
        <f>IF(DAY(B60)=1,INDEX([1]Parametros!$C$7:$C$18,MONTH(B60)),0)</f>
        <v>0</v>
      </c>
      <c r="G60" s="4">
        <v>359</v>
      </c>
      <c r="H60" s="4">
        <f t="shared" si="2"/>
        <v>10741</v>
      </c>
      <c r="I60" s="4">
        <f t="shared" si="0"/>
        <v>10920.5</v>
      </c>
      <c r="J60" s="2" t="s">
        <v>75</v>
      </c>
    </row>
    <row r="61" spans="2:10">
      <c r="B61" s="3">
        <v>46081</v>
      </c>
      <c r="C61" s="2" t="s">
        <v>48</v>
      </c>
      <c r="D61" s="2" t="s">
        <v>14</v>
      </c>
      <c r="E61" s="4">
        <f t="shared" si="1"/>
        <v>10741</v>
      </c>
      <c r="F61" s="4">
        <f>IF(DAY(B61)=1,INDEX([1]Parametros!$C$7:$C$18,MONTH(B61)),0)</f>
        <v>0</v>
      </c>
      <c r="G61" s="4">
        <v>219</v>
      </c>
      <c r="H61" s="4">
        <f t="shared" si="2"/>
        <v>10522</v>
      </c>
      <c r="I61" s="4">
        <f t="shared" si="0"/>
        <v>10631.5</v>
      </c>
      <c r="J61" s="2" t="s">
        <v>76</v>
      </c>
    </row>
    <row r="62" spans="2:10">
      <c r="B62" s="3">
        <v>46082</v>
      </c>
      <c r="C62" s="2" t="s">
        <v>77</v>
      </c>
      <c r="D62" s="2" t="s">
        <v>16</v>
      </c>
      <c r="E62" s="4">
        <f t="shared" si="1"/>
        <v>10522</v>
      </c>
      <c r="F62" s="4">
        <f>IF(DAY(B62)=1,INDEX([1]Parametros!$C$7:$C$18,MONTH(B62)),0)</f>
        <v>9000</v>
      </c>
      <c r="G62" s="4">
        <v>188</v>
      </c>
      <c r="H62" s="4">
        <f t="shared" si="2"/>
        <v>19334</v>
      </c>
      <c r="I62" s="4">
        <f t="shared" si="0"/>
        <v>14928</v>
      </c>
      <c r="J62" s="2" t="s">
        <v>78</v>
      </c>
    </row>
    <row r="63" spans="2:10">
      <c r="B63" s="3">
        <v>46083</v>
      </c>
      <c r="C63" s="2" t="s">
        <v>77</v>
      </c>
      <c r="D63" s="2" t="s">
        <v>18</v>
      </c>
      <c r="E63" s="4">
        <f t="shared" si="1"/>
        <v>19334</v>
      </c>
      <c r="F63" s="4">
        <f>IF(DAY(B63)=1,INDEX([1]Parametros!$C$7:$C$18,MONTH(B63)),0)</f>
        <v>0</v>
      </c>
      <c r="G63" s="4">
        <v>370</v>
      </c>
      <c r="H63" s="4">
        <f t="shared" si="2"/>
        <v>18964</v>
      </c>
      <c r="I63" s="4">
        <f t="shared" si="0"/>
        <v>19149</v>
      </c>
      <c r="J63" s="2" t="s">
        <v>79</v>
      </c>
    </row>
    <row r="64" spans="2:10">
      <c r="B64" s="3">
        <v>46084</v>
      </c>
      <c r="C64" s="2" t="s">
        <v>77</v>
      </c>
      <c r="D64" s="2" t="s">
        <v>20</v>
      </c>
      <c r="E64" s="4">
        <f t="shared" si="1"/>
        <v>18964</v>
      </c>
      <c r="F64" s="4">
        <f>IF(DAY(B64)=1,INDEX([1]Parametros!$C$7:$C$18,MONTH(B64)),0)</f>
        <v>0</v>
      </c>
      <c r="G64" s="4">
        <v>315</v>
      </c>
      <c r="H64" s="4">
        <f t="shared" si="2"/>
        <v>18649</v>
      </c>
      <c r="I64" s="4">
        <f t="shared" si="0"/>
        <v>18806.5</v>
      </c>
      <c r="J64" s="2" t="s">
        <v>80</v>
      </c>
    </row>
    <row r="65" spans="2:10">
      <c r="B65" s="3">
        <v>46085</v>
      </c>
      <c r="C65" s="2" t="s">
        <v>77</v>
      </c>
      <c r="D65" s="2" t="s">
        <v>22</v>
      </c>
      <c r="E65" s="4">
        <f t="shared" si="1"/>
        <v>18649</v>
      </c>
      <c r="F65" s="4">
        <f>IF(DAY(B65)=1,INDEX([1]Parametros!$C$7:$C$18,MONTH(B65)),0)</f>
        <v>0</v>
      </c>
      <c r="G65" s="4">
        <v>272</v>
      </c>
      <c r="H65" s="4">
        <f t="shared" si="2"/>
        <v>18377</v>
      </c>
      <c r="I65" s="4">
        <f t="shared" si="0"/>
        <v>18513</v>
      </c>
      <c r="J65" s="2" t="s">
        <v>81</v>
      </c>
    </row>
    <row r="66" spans="2:10">
      <c r="B66" s="3">
        <v>46086</v>
      </c>
      <c r="C66" s="2" t="s">
        <v>77</v>
      </c>
      <c r="D66" s="2" t="s">
        <v>10</v>
      </c>
      <c r="E66" s="4">
        <f t="shared" si="1"/>
        <v>18377</v>
      </c>
      <c r="F66" s="4">
        <f>IF(DAY(B66)=1,INDEX([1]Parametros!$C$7:$C$18,MONTH(B66)),0)</f>
        <v>0</v>
      </c>
      <c r="G66" s="4">
        <v>285</v>
      </c>
      <c r="H66" s="4">
        <f t="shared" si="2"/>
        <v>18092</v>
      </c>
      <c r="I66" s="4">
        <f t="shared" si="0"/>
        <v>18234.5</v>
      </c>
      <c r="J66" s="2" t="s">
        <v>82</v>
      </c>
    </row>
    <row r="67" spans="2:10">
      <c r="B67" s="3">
        <v>46087</v>
      </c>
      <c r="C67" s="2" t="s">
        <v>77</v>
      </c>
      <c r="D67" s="2" t="s">
        <v>12</v>
      </c>
      <c r="E67" s="4">
        <f t="shared" si="1"/>
        <v>18092</v>
      </c>
      <c r="F67" s="4">
        <f>IF(DAY(B67)=1,INDEX([1]Parametros!$C$7:$C$18,MONTH(B67)),0)</f>
        <v>0</v>
      </c>
      <c r="G67" s="4">
        <v>363</v>
      </c>
      <c r="H67" s="4">
        <f t="shared" si="2"/>
        <v>17729</v>
      </c>
      <c r="I67" s="4">
        <f t="shared" ref="I67:I130" si="3">(E67+H67)/2</f>
        <v>17910.5</v>
      </c>
      <c r="J67" s="2" t="s">
        <v>83</v>
      </c>
    </row>
    <row r="68" spans="2:10">
      <c r="B68" s="3">
        <v>46088</v>
      </c>
      <c r="C68" s="2" t="s">
        <v>77</v>
      </c>
      <c r="D68" s="2" t="s">
        <v>14</v>
      </c>
      <c r="E68" s="4">
        <f t="shared" ref="E68:E131" si="4">H67</f>
        <v>17729</v>
      </c>
      <c r="F68" s="4">
        <f>IF(DAY(B68)=1,INDEX([1]Parametros!$C$7:$C$18,MONTH(B68)),0)</f>
        <v>0</v>
      </c>
      <c r="G68" s="4">
        <v>176</v>
      </c>
      <c r="H68" s="4">
        <f t="shared" ref="H68:H131" si="5">E68+F68-G68</f>
        <v>17553</v>
      </c>
      <c r="I68" s="4">
        <f t="shared" si="3"/>
        <v>17641</v>
      </c>
      <c r="J68" s="2" t="s">
        <v>84</v>
      </c>
    </row>
    <row r="69" spans="2:10">
      <c r="B69" s="3">
        <v>46089</v>
      </c>
      <c r="C69" s="2" t="s">
        <v>77</v>
      </c>
      <c r="D69" s="2" t="s">
        <v>16</v>
      </c>
      <c r="E69" s="4">
        <f t="shared" si="4"/>
        <v>17553</v>
      </c>
      <c r="F69" s="4">
        <f>IF(DAY(B69)=1,INDEX([1]Parametros!$C$7:$C$18,MONTH(B69)),0)</f>
        <v>0</v>
      </c>
      <c r="G69" s="4">
        <v>166</v>
      </c>
      <c r="H69" s="4">
        <f t="shared" si="5"/>
        <v>17387</v>
      </c>
      <c r="I69" s="4">
        <f t="shared" si="3"/>
        <v>17470</v>
      </c>
      <c r="J69" s="2" t="s">
        <v>85</v>
      </c>
    </row>
    <row r="70" spans="2:10">
      <c r="B70" s="3">
        <v>46090</v>
      </c>
      <c r="C70" s="2" t="s">
        <v>77</v>
      </c>
      <c r="D70" s="2" t="s">
        <v>18</v>
      </c>
      <c r="E70" s="4">
        <f t="shared" si="4"/>
        <v>17387</v>
      </c>
      <c r="F70" s="4">
        <f>IF(DAY(B70)=1,INDEX([1]Parametros!$C$7:$C$18,MONTH(B70)),0)</f>
        <v>0</v>
      </c>
      <c r="G70" s="4">
        <v>337</v>
      </c>
      <c r="H70" s="4">
        <f t="shared" si="5"/>
        <v>17050</v>
      </c>
      <c r="I70" s="4">
        <f t="shared" si="3"/>
        <v>17218.5</v>
      </c>
      <c r="J70" s="2" t="s">
        <v>86</v>
      </c>
    </row>
    <row r="71" spans="2:10">
      <c r="B71" s="3">
        <v>46091</v>
      </c>
      <c r="C71" s="2" t="s">
        <v>77</v>
      </c>
      <c r="D71" s="2" t="s">
        <v>20</v>
      </c>
      <c r="E71" s="4">
        <f t="shared" si="4"/>
        <v>17050</v>
      </c>
      <c r="F71" s="4">
        <f>IF(DAY(B71)=1,INDEX([1]Parametros!$C$7:$C$18,MONTH(B71)),0)</f>
        <v>0</v>
      </c>
      <c r="G71" s="4">
        <v>309</v>
      </c>
      <c r="H71" s="4">
        <f t="shared" si="5"/>
        <v>16741</v>
      </c>
      <c r="I71" s="4">
        <f t="shared" si="3"/>
        <v>16895.5</v>
      </c>
      <c r="J71" s="2" t="s">
        <v>87</v>
      </c>
    </row>
    <row r="72" spans="2:10">
      <c r="B72" s="3">
        <v>46092</v>
      </c>
      <c r="C72" s="2" t="s">
        <v>77</v>
      </c>
      <c r="D72" s="2" t="s">
        <v>22</v>
      </c>
      <c r="E72" s="4">
        <f t="shared" si="4"/>
        <v>16741</v>
      </c>
      <c r="F72" s="4">
        <f>IF(DAY(B72)=1,INDEX([1]Parametros!$C$7:$C$18,MONTH(B72)),0)</f>
        <v>0</v>
      </c>
      <c r="G72" s="4">
        <v>332</v>
      </c>
      <c r="H72" s="4">
        <f t="shared" si="5"/>
        <v>16409</v>
      </c>
      <c r="I72" s="4">
        <f t="shared" si="3"/>
        <v>16575</v>
      </c>
      <c r="J72" s="2" t="s">
        <v>88</v>
      </c>
    </row>
    <row r="73" spans="2:10">
      <c r="B73" s="3">
        <v>46093</v>
      </c>
      <c r="C73" s="2" t="s">
        <v>77</v>
      </c>
      <c r="D73" s="2" t="s">
        <v>10</v>
      </c>
      <c r="E73" s="4">
        <f t="shared" si="4"/>
        <v>16409</v>
      </c>
      <c r="F73" s="4">
        <f>IF(DAY(B73)=1,INDEX([1]Parametros!$C$7:$C$18,MONTH(B73)),0)</f>
        <v>0</v>
      </c>
      <c r="G73" s="4">
        <v>316</v>
      </c>
      <c r="H73" s="4">
        <f t="shared" si="5"/>
        <v>16093</v>
      </c>
      <c r="I73" s="4">
        <f t="shared" si="3"/>
        <v>16251</v>
      </c>
      <c r="J73" s="2" t="s">
        <v>89</v>
      </c>
    </row>
    <row r="74" spans="2:10">
      <c r="B74" s="3">
        <v>46094</v>
      </c>
      <c r="C74" s="2" t="s">
        <v>77</v>
      </c>
      <c r="D74" s="2" t="s">
        <v>12</v>
      </c>
      <c r="E74" s="4">
        <f t="shared" si="4"/>
        <v>16093</v>
      </c>
      <c r="F74" s="4">
        <f>IF(DAY(B74)=1,INDEX([1]Parametros!$C$7:$C$18,MONTH(B74)),0)</f>
        <v>0</v>
      </c>
      <c r="G74" s="4">
        <v>401</v>
      </c>
      <c r="H74" s="4">
        <f t="shared" si="5"/>
        <v>15692</v>
      </c>
      <c r="I74" s="4">
        <f t="shared" si="3"/>
        <v>15892.5</v>
      </c>
      <c r="J74" s="2" t="s">
        <v>90</v>
      </c>
    </row>
    <row r="75" spans="2:10">
      <c r="B75" s="3">
        <v>46095</v>
      </c>
      <c r="C75" s="2" t="s">
        <v>77</v>
      </c>
      <c r="D75" s="2" t="s">
        <v>14</v>
      </c>
      <c r="E75" s="4">
        <f t="shared" si="4"/>
        <v>15692</v>
      </c>
      <c r="F75" s="4">
        <f>IF(DAY(B75)=1,INDEX([1]Parametros!$C$7:$C$18,MONTH(B75)),0)</f>
        <v>0</v>
      </c>
      <c r="G75" s="4">
        <v>233</v>
      </c>
      <c r="H75" s="4">
        <f t="shared" si="5"/>
        <v>15459</v>
      </c>
      <c r="I75" s="4">
        <f t="shared" si="3"/>
        <v>15575.5</v>
      </c>
      <c r="J75" s="2" t="s">
        <v>91</v>
      </c>
    </row>
    <row r="76" spans="2:10">
      <c r="B76" s="3">
        <v>46096</v>
      </c>
      <c r="C76" s="2" t="s">
        <v>77</v>
      </c>
      <c r="D76" s="2" t="s">
        <v>16</v>
      </c>
      <c r="E76" s="4">
        <f t="shared" si="4"/>
        <v>15459</v>
      </c>
      <c r="F76" s="4">
        <f>IF(DAY(B76)=1,INDEX([1]Parametros!$C$7:$C$18,MONTH(B76)),0)</f>
        <v>0</v>
      </c>
      <c r="G76" s="4">
        <v>148</v>
      </c>
      <c r="H76" s="4">
        <f t="shared" si="5"/>
        <v>15311</v>
      </c>
      <c r="I76" s="4">
        <f t="shared" si="3"/>
        <v>15385</v>
      </c>
      <c r="J76" s="2" t="s">
        <v>92</v>
      </c>
    </row>
    <row r="77" spans="2:10">
      <c r="B77" s="3">
        <v>46097</v>
      </c>
      <c r="C77" s="2" t="s">
        <v>77</v>
      </c>
      <c r="D77" s="2" t="s">
        <v>18</v>
      </c>
      <c r="E77" s="4">
        <f t="shared" si="4"/>
        <v>15311</v>
      </c>
      <c r="F77" s="4">
        <f>IF(DAY(B77)=1,INDEX([1]Parametros!$C$7:$C$18,MONTH(B77)),0)</f>
        <v>0</v>
      </c>
      <c r="G77" s="4">
        <v>314</v>
      </c>
      <c r="H77" s="4">
        <f t="shared" si="5"/>
        <v>14997</v>
      </c>
      <c r="I77" s="4">
        <f t="shared" si="3"/>
        <v>15154</v>
      </c>
      <c r="J77" s="2" t="s">
        <v>93</v>
      </c>
    </row>
    <row r="78" spans="2:10">
      <c r="B78" s="3">
        <v>46098</v>
      </c>
      <c r="C78" s="2" t="s">
        <v>77</v>
      </c>
      <c r="D78" s="2" t="s">
        <v>20</v>
      </c>
      <c r="E78" s="4">
        <f t="shared" si="4"/>
        <v>14997</v>
      </c>
      <c r="F78" s="4">
        <f>IF(DAY(B78)=1,INDEX([1]Parametros!$C$7:$C$18,MONTH(B78)),0)</f>
        <v>0</v>
      </c>
      <c r="G78" s="4">
        <v>295</v>
      </c>
      <c r="H78" s="4">
        <f t="shared" si="5"/>
        <v>14702</v>
      </c>
      <c r="I78" s="4">
        <f t="shared" si="3"/>
        <v>14849.5</v>
      </c>
      <c r="J78" s="2" t="s">
        <v>94</v>
      </c>
    </row>
    <row r="79" spans="2:10">
      <c r="B79" s="3">
        <v>46099</v>
      </c>
      <c r="C79" s="2" t="s">
        <v>77</v>
      </c>
      <c r="D79" s="2" t="s">
        <v>22</v>
      </c>
      <c r="E79" s="4">
        <f t="shared" si="4"/>
        <v>14702</v>
      </c>
      <c r="F79" s="4">
        <f>IF(DAY(B79)=1,INDEX([1]Parametros!$C$7:$C$18,MONTH(B79)),0)</f>
        <v>0</v>
      </c>
      <c r="G79" s="4">
        <v>339</v>
      </c>
      <c r="H79" s="4">
        <f t="shared" si="5"/>
        <v>14363</v>
      </c>
      <c r="I79" s="4">
        <f t="shared" si="3"/>
        <v>14532.5</v>
      </c>
      <c r="J79" s="2" t="s">
        <v>95</v>
      </c>
    </row>
    <row r="80" spans="2:10">
      <c r="B80" s="3">
        <v>46100</v>
      </c>
      <c r="C80" s="2" t="s">
        <v>77</v>
      </c>
      <c r="D80" s="2" t="s">
        <v>10</v>
      </c>
      <c r="E80" s="4">
        <f t="shared" si="4"/>
        <v>14363</v>
      </c>
      <c r="F80" s="4">
        <f>IF(DAY(B80)=1,INDEX([1]Parametros!$C$7:$C$18,MONTH(B80)),0)</f>
        <v>0</v>
      </c>
      <c r="G80" s="4">
        <v>284</v>
      </c>
      <c r="H80" s="4">
        <f t="shared" si="5"/>
        <v>14079</v>
      </c>
      <c r="I80" s="4">
        <f t="shared" si="3"/>
        <v>14221</v>
      </c>
      <c r="J80" s="2" t="s">
        <v>96</v>
      </c>
    </row>
    <row r="81" spans="2:10">
      <c r="B81" s="3">
        <v>46101</v>
      </c>
      <c r="C81" s="2" t="s">
        <v>77</v>
      </c>
      <c r="D81" s="2" t="s">
        <v>12</v>
      </c>
      <c r="E81" s="4">
        <f t="shared" si="4"/>
        <v>14079</v>
      </c>
      <c r="F81" s="4">
        <f>IF(DAY(B81)=1,INDEX([1]Parametros!$C$7:$C$18,MONTH(B81)),0)</f>
        <v>0</v>
      </c>
      <c r="G81" s="4">
        <v>334</v>
      </c>
      <c r="H81" s="4">
        <f t="shared" si="5"/>
        <v>13745</v>
      </c>
      <c r="I81" s="4">
        <f t="shared" si="3"/>
        <v>13912</v>
      </c>
      <c r="J81" s="2" t="s">
        <v>97</v>
      </c>
    </row>
    <row r="82" spans="2:10">
      <c r="B82" s="3">
        <v>46102</v>
      </c>
      <c r="C82" s="2" t="s">
        <v>77</v>
      </c>
      <c r="D82" s="2" t="s">
        <v>14</v>
      </c>
      <c r="E82" s="4">
        <f t="shared" si="4"/>
        <v>13745</v>
      </c>
      <c r="F82" s="4">
        <f>IF(DAY(B82)=1,INDEX([1]Parametros!$C$7:$C$18,MONTH(B82)),0)</f>
        <v>0</v>
      </c>
      <c r="G82" s="4">
        <v>237</v>
      </c>
      <c r="H82" s="4">
        <f t="shared" si="5"/>
        <v>13508</v>
      </c>
      <c r="I82" s="4">
        <f t="shared" si="3"/>
        <v>13626.5</v>
      </c>
      <c r="J82" s="2" t="s">
        <v>98</v>
      </c>
    </row>
    <row r="83" spans="2:10">
      <c r="B83" s="3">
        <v>46103</v>
      </c>
      <c r="C83" s="2" t="s">
        <v>77</v>
      </c>
      <c r="D83" s="2" t="s">
        <v>16</v>
      </c>
      <c r="E83" s="4">
        <f t="shared" si="4"/>
        <v>13508</v>
      </c>
      <c r="F83" s="4">
        <f>IF(DAY(B83)=1,INDEX([1]Parametros!$C$7:$C$18,MONTH(B83)),0)</f>
        <v>0</v>
      </c>
      <c r="G83" s="4">
        <v>145</v>
      </c>
      <c r="H83" s="4">
        <f t="shared" si="5"/>
        <v>13363</v>
      </c>
      <c r="I83" s="4">
        <f t="shared" si="3"/>
        <v>13435.5</v>
      </c>
      <c r="J83" s="2" t="s">
        <v>99</v>
      </c>
    </row>
    <row r="84" spans="2:10">
      <c r="B84" s="3">
        <v>46104</v>
      </c>
      <c r="C84" s="2" t="s">
        <v>77</v>
      </c>
      <c r="D84" s="2" t="s">
        <v>18</v>
      </c>
      <c r="E84" s="4">
        <f t="shared" si="4"/>
        <v>13363</v>
      </c>
      <c r="F84" s="4">
        <f>IF(DAY(B84)=1,INDEX([1]Parametros!$C$7:$C$18,MONTH(B84)),0)</f>
        <v>0</v>
      </c>
      <c r="G84" s="4">
        <v>322</v>
      </c>
      <c r="H84" s="4">
        <f t="shared" si="5"/>
        <v>13041</v>
      </c>
      <c r="I84" s="4">
        <f t="shared" si="3"/>
        <v>13202</v>
      </c>
      <c r="J84" s="2" t="s">
        <v>100</v>
      </c>
    </row>
    <row r="85" spans="2:10">
      <c r="B85" s="3">
        <v>46105</v>
      </c>
      <c r="C85" s="2" t="s">
        <v>77</v>
      </c>
      <c r="D85" s="2" t="s">
        <v>20</v>
      </c>
      <c r="E85" s="4">
        <f t="shared" si="4"/>
        <v>13041</v>
      </c>
      <c r="F85" s="4">
        <f>IF(DAY(B85)=1,INDEX([1]Parametros!$C$7:$C$18,MONTH(B85)),0)</f>
        <v>0</v>
      </c>
      <c r="G85" s="4">
        <v>266</v>
      </c>
      <c r="H85" s="4">
        <f t="shared" si="5"/>
        <v>12775</v>
      </c>
      <c r="I85" s="4">
        <f t="shared" si="3"/>
        <v>12908</v>
      </c>
      <c r="J85" s="2" t="s">
        <v>101</v>
      </c>
    </row>
    <row r="86" spans="2:10">
      <c r="B86" s="3">
        <v>46106</v>
      </c>
      <c r="C86" s="2" t="s">
        <v>77</v>
      </c>
      <c r="D86" s="2" t="s">
        <v>22</v>
      </c>
      <c r="E86" s="4">
        <f t="shared" si="4"/>
        <v>12775</v>
      </c>
      <c r="F86" s="4">
        <f>IF(DAY(B86)=1,INDEX([1]Parametros!$C$7:$C$18,MONTH(B86)),0)</f>
        <v>0</v>
      </c>
      <c r="G86" s="4">
        <v>282</v>
      </c>
      <c r="H86" s="4">
        <f t="shared" si="5"/>
        <v>12493</v>
      </c>
      <c r="I86" s="4">
        <f t="shared" si="3"/>
        <v>12634</v>
      </c>
      <c r="J86" s="2" t="s">
        <v>102</v>
      </c>
    </row>
    <row r="87" spans="2:10">
      <c r="B87" s="3">
        <v>46107</v>
      </c>
      <c r="C87" s="2" t="s">
        <v>77</v>
      </c>
      <c r="D87" s="2" t="s">
        <v>10</v>
      </c>
      <c r="E87" s="4">
        <f t="shared" si="4"/>
        <v>12493</v>
      </c>
      <c r="F87" s="4">
        <f>IF(DAY(B87)=1,INDEX([1]Parametros!$C$7:$C$18,MONTH(B87)),0)</f>
        <v>0</v>
      </c>
      <c r="G87" s="4">
        <v>284</v>
      </c>
      <c r="H87" s="4">
        <f t="shared" si="5"/>
        <v>12209</v>
      </c>
      <c r="I87" s="4">
        <f t="shared" si="3"/>
        <v>12351</v>
      </c>
      <c r="J87" s="2" t="s">
        <v>103</v>
      </c>
    </row>
    <row r="88" spans="2:10">
      <c r="B88" s="3">
        <v>46108</v>
      </c>
      <c r="C88" s="2" t="s">
        <v>77</v>
      </c>
      <c r="D88" s="2" t="s">
        <v>12</v>
      </c>
      <c r="E88" s="4">
        <f t="shared" si="4"/>
        <v>12209</v>
      </c>
      <c r="F88" s="4">
        <f>IF(DAY(B88)=1,INDEX([1]Parametros!$C$7:$C$18,MONTH(B88)),0)</f>
        <v>0</v>
      </c>
      <c r="G88" s="4">
        <v>348</v>
      </c>
      <c r="H88" s="4">
        <f t="shared" si="5"/>
        <v>11861</v>
      </c>
      <c r="I88" s="4">
        <f t="shared" si="3"/>
        <v>12035</v>
      </c>
      <c r="J88" s="2" t="s">
        <v>104</v>
      </c>
    </row>
    <row r="89" spans="2:10">
      <c r="B89" s="3">
        <v>46109</v>
      </c>
      <c r="C89" s="2" t="s">
        <v>77</v>
      </c>
      <c r="D89" s="2" t="s">
        <v>14</v>
      </c>
      <c r="E89" s="4">
        <f t="shared" si="4"/>
        <v>11861</v>
      </c>
      <c r="F89" s="4">
        <f>IF(DAY(B89)=1,INDEX([1]Parametros!$C$7:$C$18,MONTH(B89)),0)</f>
        <v>0</v>
      </c>
      <c r="G89" s="4">
        <v>249</v>
      </c>
      <c r="H89" s="4">
        <f t="shared" si="5"/>
        <v>11612</v>
      </c>
      <c r="I89" s="4">
        <f t="shared" si="3"/>
        <v>11736.5</v>
      </c>
      <c r="J89" s="2" t="s">
        <v>105</v>
      </c>
    </row>
    <row r="90" spans="2:10">
      <c r="B90" s="3">
        <v>46110</v>
      </c>
      <c r="C90" s="2" t="s">
        <v>77</v>
      </c>
      <c r="D90" s="2" t="s">
        <v>16</v>
      </c>
      <c r="E90" s="4">
        <f t="shared" si="4"/>
        <v>11612</v>
      </c>
      <c r="F90" s="4">
        <f>IF(DAY(B90)=1,INDEX([1]Parametros!$C$7:$C$18,MONTH(B90)),0)</f>
        <v>0</v>
      </c>
      <c r="G90" s="4">
        <v>164</v>
      </c>
      <c r="H90" s="4">
        <f t="shared" si="5"/>
        <v>11448</v>
      </c>
      <c r="I90" s="4">
        <f t="shared" si="3"/>
        <v>11530</v>
      </c>
      <c r="J90" s="2" t="s">
        <v>106</v>
      </c>
    </row>
    <row r="91" spans="2:10">
      <c r="B91" s="3">
        <v>46111</v>
      </c>
      <c r="C91" s="2" t="s">
        <v>77</v>
      </c>
      <c r="D91" s="2" t="s">
        <v>18</v>
      </c>
      <c r="E91" s="4">
        <f t="shared" si="4"/>
        <v>11448</v>
      </c>
      <c r="F91" s="4">
        <f>IF(DAY(B91)=1,INDEX([1]Parametros!$C$7:$C$18,MONTH(B91)),0)</f>
        <v>0</v>
      </c>
      <c r="G91" s="4">
        <v>337</v>
      </c>
      <c r="H91" s="4">
        <f t="shared" si="5"/>
        <v>11111</v>
      </c>
      <c r="I91" s="4">
        <f t="shared" si="3"/>
        <v>11279.5</v>
      </c>
      <c r="J91" s="2" t="s">
        <v>107</v>
      </c>
    </row>
    <row r="92" spans="2:10">
      <c r="B92" s="3">
        <v>46112</v>
      </c>
      <c r="C92" s="2" t="s">
        <v>77</v>
      </c>
      <c r="D92" s="2" t="s">
        <v>20</v>
      </c>
      <c r="E92" s="4">
        <f t="shared" si="4"/>
        <v>11111</v>
      </c>
      <c r="F92" s="4">
        <f>IF(DAY(B92)=1,INDEX([1]Parametros!$C$7:$C$18,MONTH(B92)),0)</f>
        <v>0</v>
      </c>
      <c r="G92" s="4">
        <v>323</v>
      </c>
      <c r="H92" s="4">
        <f t="shared" si="5"/>
        <v>10788</v>
      </c>
      <c r="I92" s="4">
        <f t="shared" si="3"/>
        <v>10949.5</v>
      </c>
      <c r="J92" s="2" t="s">
        <v>108</v>
      </c>
    </row>
    <row r="93" spans="2:10">
      <c r="B93" s="3">
        <v>46113</v>
      </c>
      <c r="C93" s="2" t="s">
        <v>109</v>
      </c>
      <c r="D93" s="2" t="s">
        <v>22</v>
      </c>
      <c r="E93" s="4">
        <f t="shared" si="4"/>
        <v>10788</v>
      </c>
      <c r="F93" s="4">
        <f>IF(DAY(B93)=1,INDEX([1]Parametros!$C$7:$C$18,MONTH(B93)),0)</f>
        <v>8600</v>
      </c>
      <c r="G93" s="4">
        <v>349</v>
      </c>
      <c r="H93" s="4">
        <f t="shared" si="5"/>
        <v>19039</v>
      </c>
      <c r="I93" s="4">
        <f t="shared" si="3"/>
        <v>14913.5</v>
      </c>
      <c r="J93" s="2" t="s">
        <v>110</v>
      </c>
    </row>
    <row r="94" spans="2:10">
      <c r="B94" s="3">
        <v>46114</v>
      </c>
      <c r="C94" s="2" t="s">
        <v>109</v>
      </c>
      <c r="D94" s="2" t="s">
        <v>10</v>
      </c>
      <c r="E94" s="4">
        <f t="shared" si="4"/>
        <v>19039</v>
      </c>
      <c r="F94" s="4">
        <f>IF(DAY(B94)=1,INDEX([1]Parametros!$C$7:$C$18,MONTH(B94)),0)</f>
        <v>0</v>
      </c>
      <c r="G94" s="4">
        <v>331</v>
      </c>
      <c r="H94" s="4">
        <f t="shared" si="5"/>
        <v>18708</v>
      </c>
      <c r="I94" s="4">
        <f t="shared" si="3"/>
        <v>18873.5</v>
      </c>
      <c r="J94" s="2" t="s">
        <v>111</v>
      </c>
    </row>
    <row r="95" spans="2:10">
      <c r="B95" s="3">
        <v>46115</v>
      </c>
      <c r="C95" s="2" t="s">
        <v>109</v>
      </c>
      <c r="D95" s="2" t="s">
        <v>12</v>
      </c>
      <c r="E95" s="4">
        <f t="shared" si="4"/>
        <v>18708</v>
      </c>
      <c r="F95" s="4">
        <f>IF(DAY(B95)=1,INDEX([1]Parametros!$C$7:$C$18,MONTH(B95)),0)</f>
        <v>0</v>
      </c>
      <c r="G95" s="4">
        <v>350</v>
      </c>
      <c r="H95" s="4">
        <f t="shared" si="5"/>
        <v>18358</v>
      </c>
      <c r="I95" s="4">
        <f t="shared" si="3"/>
        <v>18533</v>
      </c>
      <c r="J95" s="2" t="s">
        <v>112</v>
      </c>
    </row>
    <row r="96" spans="2:10">
      <c r="B96" s="3">
        <v>46116</v>
      </c>
      <c r="C96" s="2" t="s">
        <v>109</v>
      </c>
      <c r="D96" s="2" t="s">
        <v>14</v>
      </c>
      <c r="E96" s="4">
        <f t="shared" si="4"/>
        <v>18358</v>
      </c>
      <c r="F96" s="4">
        <f>IF(DAY(B96)=1,INDEX([1]Parametros!$C$7:$C$18,MONTH(B96)),0)</f>
        <v>0</v>
      </c>
      <c r="G96" s="4">
        <v>192</v>
      </c>
      <c r="H96" s="4">
        <f t="shared" si="5"/>
        <v>18166</v>
      </c>
      <c r="I96" s="4">
        <f t="shared" si="3"/>
        <v>18262</v>
      </c>
      <c r="J96" s="2" t="s">
        <v>113</v>
      </c>
    </row>
    <row r="97" spans="2:10">
      <c r="B97" s="3">
        <v>46117</v>
      </c>
      <c r="C97" s="2" t="s">
        <v>109</v>
      </c>
      <c r="D97" s="2" t="s">
        <v>16</v>
      </c>
      <c r="E97" s="4">
        <f t="shared" si="4"/>
        <v>18166</v>
      </c>
      <c r="F97" s="4">
        <f>IF(DAY(B97)=1,INDEX([1]Parametros!$C$7:$C$18,MONTH(B97)),0)</f>
        <v>0</v>
      </c>
      <c r="G97" s="4">
        <v>194</v>
      </c>
      <c r="H97" s="4">
        <f t="shared" si="5"/>
        <v>17972</v>
      </c>
      <c r="I97" s="4">
        <f t="shared" si="3"/>
        <v>18069</v>
      </c>
      <c r="J97" s="2" t="s">
        <v>114</v>
      </c>
    </row>
    <row r="98" spans="2:10">
      <c r="B98" s="3">
        <v>46118</v>
      </c>
      <c r="C98" s="2" t="s">
        <v>109</v>
      </c>
      <c r="D98" s="2" t="s">
        <v>18</v>
      </c>
      <c r="E98" s="4">
        <f t="shared" si="4"/>
        <v>17972</v>
      </c>
      <c r="F98" s="4">
        <f>IF(DAY(B98)=1,INDEX([1]Parametros!$C$7:$C$18,MONTH(B98)),0)</f>
        <v>0</v>
      </c>
      <c r="G98" s="4">
        <v>347</v>
      </c>
      <c r="H98" s="4">
        <f t="shared" si="5"/>
        <v>17625</v>
      </c>
      <c r="I98" s="4">
        <f t="shared" si="3"/>
        <v>17798.5</v>
      </c>
      <c r="J98" s="2" t="s">
        <v>115</v>
      </c>
    </row>
    <row r="99" spans="2:10">
      <c r="B99" s="3">
        <v>46119</v>
      </c>
      <c r="C99" s="2" t="s">
        <v>109</v>
      </c>
      <c r="D99" s="2" t="s">
        <v>20</v>
      </c>
      <c r="E99" s="4">
        <f t="shared" si="4"/>
        <v>17625</v>
      </c>
      <c r="F99" s="4">
        <f>IF(DAY(B99)=1,INDEX([1]Parametros!$C$7:$C$18,MONTH(B99)),0)</f>
        <v>0</v>
      </c>
      <c r="G99" s="4">
        <v>359</v>
      </c>
      <c r="H99" s="4">
        <f t="shared" si="5"/>
        <v>17266</v>
      </c>
      <c r="I99" s="4">
        <f t="shared" si="3"/>
        <v>17445.5</v>
      </c>
      <c r="J99" s="2" t="s">
        <v>116</v>
      </c>
    </row>
    <row r="100" spans="2:10">
      <c r="B100" s="3">
        <v>46120</v>
      </c>
      <c r="C100" s="2" t="s">
        <v>109</v>
      </c>
      <c r="D100" s="2" t="s">
        <v>22</v>
      </c>
      <c r="E100" s="4">
        <f t="shared" si="4"/>
        <v>17266</v>
      </c>
      <c r="F100" s="4">
        <f>IF(DAY(B100)=1,INDEX([1]Parametros!$C$7:$C$18,MONTH(B100)),0)</f>
        <v>0</v>
      </c>
      <c r="G100" s="4">
        <v>317</v>
      </c>
      <c r="H100" s="4">
        <f t="shared" si="5"/>
        <v>16949</v>
      </c>
      <c r="I100" s="4">
        <f t="shared" si="3"/>
        <v>17107.5</v>
      </c>
      <c r="J100" s="2" t="s">
        <v>117</v>
      </c>
    </row>
    <row r="101" spans="2:10">
      <c r="B101" s="3">
        <v>46121</v>
      </c>
      <c r="C101" s="2" t="s">
        <v>109</v>
      </c>
      <c r="D101" s="2" t="s">
        <v>10</v>
      </c>
      <c r="E101" s="4">
        <f t="shared" si="4"/>
        <v>16949</v>
      </c>
      <c r="F101" s="4">
        <f>IF(DAY(B101)=1,INDEX([1]Parametros!$C$7:$C$18,MONTH(B101)),0)</f>
        <v>0</v>
      </c>
      <c r="G101" s="4">
        <v>361</v>
      </c>
      <c r="H101" s="4">
        <f t="shared" si="5"/>
        <v>16588</v>
      </c>
      <c r="I101" s="4">
        <f t="shared" si="3"/>
        <v>16768.5</v>
      </c>
      <c r="J101" s="2" t="s">
        <v>118</v>
      </c>
    </row>
    <row r="102" spans="2:10">
      <c r="B102" s="3">
        <v>46122</v>
      </c>
      <c r="C102" s="2" t="s">
        <v>109</v>
      </c>
      <c r="D102" s="2" t="s">
        <v>12</v>
      </c>
      <c r="E102" s="4">
        <f t="shared" si="4"/>
        <v>16588</v>
      </c>
      <c r="F102" s="4">
        <f>IF(DAY(B102)=1,INDEX([1]Parametros!$C$7:$C$18,MONTH(B102)),0)</f>
        <v>0</v>
      </c>
      <c r="G102" s="4">
        <v>333</v>
      </c>
      <c r="H102" s="4">
        <f t="shared" si="5"/>
        <v>16255</v>
      </c>
      <c r="I102" s="4">
        <f t="shared" si="3"/>
        <v>16421.5</v>
      </c>
      <c r="J102" s="2" t="s">
        <v>119</v>
      </c>
    </row>
    <row r="103" spans="2:10">
      <c r="B103" s="3">
        <v>46123</v>
      </c>
      <c r="C103" s="2" t="s">
        <v>109</v>
      </c>
      <c r="D103" s="2" t="s">
        <v>14</v>
      </c>
      <c r="E103" s="4">
        <f t="shared" si="4"/>
        <v>16255</v>
      </c>
      <c r="F103" s="4">
        <f>IF(DAY(B103)=1,INDEX([1]Parametros!$C$7:$C$18,MONTH(B103)),0)</f>
        <v>0</v>
      </c>
      <c r="G103" s="4">
        <v>265</v>
      </c>
      <c r="H103" s="4">
        <f t="shared" si="5"/>
        <v>15990</v>
      </c>
      <c r="I103" s="4">
        <f t="shared" si="3"/>
        <v>16122.5</v>
      </c>
      <c r="J103" s="2" t="s">
        <v>120</v>
      </c>
    </row>
    <row r="104" spans="2:10">
      <c r="B104" s="3">
        <v>46124</v>
      </c>
      <c r="C104" s="2" t="s">
        <v>109</v>
      </c>
      <c r="D104" s="2" t="s">
        <v>16</v>
      </c>
      <c r="E104" s="4">
        <f t="shared" si="4"/>
        <v>15990</v>
      </c>
      <c r="F104" s="4">
        <f>IF(DAY(B104)=1,INDEX([1]Parametros!$C$7:$C$18,MONTH(B104)),0)</f>
        <v>0</v>
      </c>
      <c r="G104" s="4">
        <v>172</v>
      </c>
      <c r="H104" s="4">
        <f t="shared" si="5"/>
        <v>15818</v>
      </c>
      <c r="I104" s="4">
        <f t="shared" si="3"/>
        <v>15904</v>
      </c>
      <c r="J104" s="2" t="s">
        <v>121</v>
      </c>
    </row>
    <row r="105" spans="2:10">
      <c r="B105" s="3">
        <v>46125</v>
      </c>
      <c r="C105" s="2" t="s">
        <v>109</v>
      </c>
      <c r="D105" s="2" t="s">
        <v>18</v>
      </c>
      <c r="E105" s="4">
        <f t="shared" si="4"/>
        <v>15818</v>
      </c>
      <c r="F105" s="4">
        <f>IF(DAY(B105)=1,INDEX([1]Parametros!$C$7:$C$18,MONTH(B105)),0)</f>
        <v>0</v>
      </c>
      <c r="G105" s="4">
        <v>322</v>
      </c>
      <c r="H105" s="4">
        <f t="shared" si="5"/>
        <v>15496</v>
      </c>
      <c r="I105" s="4">
        <f t="shared" si="3"/>
        <v>15657</v>
      </c>
      <c r="J105" s="2" t="s">
        <v>122</v>
      </c>
    </row>
    <row r="106" spans="2:10">
      <c r="B106" s="3">
        <v>46126</v>
      </c>
      <c r="C106" s="2" t="s">
        <v>109</v>
      </c>
      <c r="D106" s="2" t="s">
        <v>20</v>
      </c>
      <c r="E106" s="4">
        <f t="shared" si="4"/>
        <v>15496</v>
      </c>
      <c r="F106" s="4">
        <f>IF(DAY(B106)=1,INDEX([1]Parametros!$C$7:$C$18,MONTH(B106)),0)</f>
        <v>0</v>
      </c>
      <c r="G106" s="4">
        <v>293</v>
      </c>
      <c r="H106" s="4">
        <f t="shared" si="5"/>
        <v>15203</v>
      </c>
      <c r="I106" s="4">
        <f t="shared" si="3"/>
        <v>15349.5</v>
      </c>
      <c r="J106" s="2" t="s">
        <v>123</v>
      </c>
    </row>
    <row r="107" spans="2:10">
      <c r="B107" s="3">
        <v>46127</v>
      </c>
      <c r="C107" s="2" t="s">
        <v>109</v>
      </c>
      <c r="D107" s="2" t="s">
        <v>22</v>
      </c>
      <c r="E107" s="4">
        <f t="shared" si="4"/>
        <v>15203</v>
      </c>
      <c r="F107" s="4">
        <f>IF(DAY(B107)=1,INDEX([1]Parametros!$C$7:$C$18,MONTH(B107)),0)</f>
        <v>0</v>
      </c>
      <c r="G107" s="4">
        <v>314</v>
      </c>
      <c r="H107" s="4">
        <f t="shared" si="5"/>
        <v>14889</v>
      </c>
      <c r="I107" s="4">
        <f t="shared" si="3"/>
        <v>15046</v>
      </c>
      <c r="J107" s="2" t="s">
        <v>124</v>
      </c>
    </row>
    <row r="108" spans="2:10">
      <c r="B108" s="3">
        <v>46128</v>
      </c>
      <c r="C108" s="2" t="s">
        <v>109</v>
      </c>
      <c r="D108" s="2" t="s">
        <v>10</v>
      </c>
      <c r="E108" s="4">
        <f t="shared" si="4"/>
        <v>14889</v>
      </c>
      <c r="F108" s="4">
        <f>IF(DAY(B108)=1,INDEX([1]Parametros!$C$7:$C$18,MONTH(B108)),0)</f>
        <v>0</v>
      </c>
      <c r="G108" s="4">
        <v>346</v>
      </c>
      <c r="H108" s="4">
        <f t="shared" si="5"/>
        <v>14543</v>
      </c>
      <c r="I108" s="4">
        <f t="shared" si="3"/>
        <v>14716</v>
      </c>
      <c r="J108" s="2" t="s">
        <v>125</v>
      </c>
    </row>
    <row r="109" spans="2:10">
      <c r="B109" s="3">
        <v>46129</v>
      </c>
      <c r="C109" s="2" t="s">
        <v>109</v>
      </c>
      <c r="D109" s="2" t="s">
        <v>12</v>
      </c>
      <c r="E109" s="4">
        <f t="shared" si="4"/>
        <v>14543</v>
      </c>
      <c r="F109" s="4">
        <f>IF(DAY(B109)=1,INDEX([1]Parametros!$C$7:$C$18,MONTH(B109)),0)</f>
        <v>0</v>
      </c>
      <c r="G109" s="4">
        <v>366</v>
      </c>
      <c r="H109" s="4">
        <f t="shared" si="5"/>
        <v>14177</v>
      </c>
      <c r="I109" s="4">
        <f t="shared" si="3"/>
        <v>14360</v>
      </c>
      <c r="J109" s="2" t="s">
        <v>126</v>
      </c>
    </row>
    <row r="110" spans="2:10">
      <c r="B110" s="3">
        <v>46130</v>
      </c>
      <c r="C110" s="2" t="s">
        <v>109</v>
      </c>
      <c r="D110" s="2" t="s">
        <v>14</v>
      </c>
      <c r="E110" s="4">
        <f t="shared" si="4"/>
        <v>14177</v>
      </c>
      <c r="F110" s="4">
        <f>IF(DAY(B110)=1,INDEX([1]Parametros!$C$7:$C$18,MONTH(B110)),0)</f>
        <v>0</v>
      </c>
      <c r="G110" s="4">
        <v>240</v>
      </c>
      <c r="H110" s="4">
        <f t="shared" si="5"/>
        <v>13937</v>
      </c>
      <c r="I110" s="4">
        <f t="shared" si="3"/>
        <v>14057</v>
      </c>
      <c r="J110" s="2" t="s">
        <v>127</v>
      </c>
    </row>
    <row r="111" spans="2:10">
      <c r="B111" s="3">
        <v>46131</v>
      </c>
      <c r="C111" s="2" t="s">
        <v>109</v>
      </c>
      <c r="D111" s="2" t="s">
        <v>16</v>
      </c>
      <c r="E111" s="4">
        <f t="shared" si="4"/>
        <v>13937</v>
      </c>
      <c r="F111" s="4">
        <f>IF(DAY(B111)=1,INDEX([1]Parametros!$C$7:$C$18,MONTH(B111)),0)</f>
        <v>0</v>
      </c>
      <c r="G111" s="4">
        <v>120</v>
      </c>
      <c r="H111" s="4">
        <f t="shared" si="5"/>
        <v>13817</v>
      </c>
      <c r="I111" s="4">
        <f t="shared" si="3"/>
        <v>13877</v>
      </c>
      <c r="J111" s="2" t="s">
        <v>128</v>
      </c>
    </row>
    <row r="112" spans="2:10">
      <c r="B112" s="3">
        <v>46132</v>
      </c>
      <c r="C112" s="2" t="s">
        <v>109</v>
      </c>
      <c r="D112" s="2" t="s">
        <v>18</v>
      </c>
      <c r="E112" s="4">
        <f t="shared" si="4"/>
        <v>13817</v>
      </c>
      <c r="F112" s="4">
        <f>IF(DAY(B112)=1,INDEX([1]Parametros!$C$7:$C$18,MONTH(B112)),0)</f>
        <v>0</v>
      </c>
      <c r="G112" s="4">
        <v>357</v>
      </c>
      <c r="H112" s="4">
        <f t="shared" si="5"/>
        <v>13460</v>
      </c>
      <c r="I112" s="4">
        <f t="shared" si="3"/>
        <v>13638.5</v>
      </c>
      <c r="J112" s="2" t="s">
        <v>129</v>
      </c>
    </row>
    <row r="113" spans="2:10">
      <c r="B113" s="3">
        <v>46133</v>
      </c>
      <c r="C113" s="2" t="s">
        <v>109</v>
      </c>
      <c r="D113" s="2" t="s">
        <v>20</v>
      </c>
      <c r="E113" s="4">
        <f t="shared" si="4"/>
        <v>13460</v>
      </c>
      <c r="F113" s="4">
        <f>IF(DAY(B113)=1,INDEX([1]Parametros!$C$7:$C$18,MONTH(B113)),0)</f>
        <v>0</v>
      </c>
      <c r="G113" s="4">
        <v>340</v>
      </c>
      <c r="H113" s="4">
        <f t="shared" si="5"/>
        <v>13120</v>
      </c>
      <c r="I113" s="4">
        <f t="shared" si="3"/>
        <v>13290</v>
      </c>
      <c r="J113" s="2" t="s">
        <v>130</v>
      </c>
    </row>
    <row r="114" spans="2:10">
      <c r="B114" s="3">
        <v>46134</v>
      </c>
      <c r="C114" s="2" t="s">
        <v>109</v>
      </c>
      <c r="D114" s="2" t="s">
        <v>22</v>
      </c>
      <c r="E114" s="4">
        <f t="shared" si="4"/>
        <v>13120</v>
      </c>
      <c r="F114" s="4">
        <f>IF(DAY(B114)=1,INDEX([1]Parametros!$C$7:$C$18,MONTH(B114)),0)</f>
        <v>0</v>
      </c>
      <c r="G114" s="4">
        <v>303</v>
      </c>
      <c r="H114" s="4">
        <f t="shared" si="5"/>
        <v>12817</v>
      </c>
      <c r="I114" s="4">
        <f t="shared" si="3"/>
        <v>12968.5</v>
      </c>
      <c r="J114" s="2" t="s">
        <v>131</v>
      </c>
    </row>
    <row r="115" spans="2:10">
      <c r="B115" s="3">
        <v>46135</v>
      </c>
      <c r="C115" s="2" t="s">
        <v>109</v>
      </c>
      <c r="D115" s="2" t="s">
        <v>10</v>
      </c>
      <c r="E115" s="4">
        <f t="shared" si="4"/>
        <v>12817</v>
      </c>
      <c r="F115" s="4">
        <f>IF(DAY(B115)=1,INDEX([1]Parametros!$C$7:$C$18,MONTH(B115)),0)</f>
        <v>0</v>
      </c>
      <c r="G115" s="4">
        <v>288</v>
      </c>
      <c r="H115" s="4">
        <f t="shared" si="5"/>
        <v>12529</v>
      </c>
      <c r="I115" s="4">
        <f t="shared" si="3"/>
        <v>12673</v>
      </c>
      <c r="J115" s="2" t="s">
        <v>132</v>
      </c>
    </row>
    <row r="116" spans="2:10">
      <c r="B116" s="3">
        <v>46136</v>
      </c>
      <c r="C116" s="2" t="s">
        <v>109</v>
      </c>
      <c r="D116" s="2" t="s">
        <v>12</v>
      </c>
      <c r="E116" s="4">
        <f t="shared" si="4"/>
        <v>12529</v>
      </c>
      <c r="F116" s="4">
        <f>IF(DAY(B116)=1,INDEX([1]Parametros!$C$7:$C$18,MONTH(B116)),0)</f>
        <v>0</v>
      </c>
      <c r="G116" s="4">
        <v>343</v>
      </c>
      <c r="H116" s="4">
        <f t="shared" si="5"/>
        <v>12186</v>
      </c>
      <c r="I116" s="4">
        <f t="shared" si="3"/>
        <v>12357.5</v>
      </c>
      <c r="J116" s="2" t="s">
        <v>133</v>
      </c>
    </row>
    <row r="117" spans="2:10">
      <c r="B117" s="3">
        <v>46137</v>
      </c>
      <c r="C117" s="2" t="s">
        <v>109</v>
      </c>
      <c r="D117" s="2" t="s">
        <v>14</v>
      </c>
      <c r="E117" s="4">
        <f t="shared" si="4"/>
        <v>12186</v>
      </c>
      <c r="F117" s="4">
        <f>IF(DAY(B117)=1,INDEX([1]Parametros!$C$7:$C$18,MONTH(B117)),0)</f>
        <v>0</v>
      </c>
      <c r="G117" s="4">
        <v>269</v>
      </c>
      <c r="H117" s="4">
        <f t="shared" si="5"/>
        <v>11917</v>
      </c>
      <c r="I117" s="4">
        <f t="shared" si="3"/>
        <v>12051.5</v>
      </c>
      <c r="J117" s="2" t="s">
        <v>134</v>
      </c>
    </row>
    <row r="118" spans="2:10">
      <c r="B118" s="3">
        <v>46138</v>
      </c>
      <c r="C118" s="2" t="s">
        <v>109</v>
      </c>
      <c r="D118" s="2" t="s">
        <v>16</v>
      </c>
      <c r="E118" s="4">
        <f t="shared" si="4"/>
        <v>11917</v>
      </c>
      <c r="F118" s="4">
        <f>IF(DAY(B118)=1,INDEX([1]Parametros!$C$7:$C$18,MONTH(B118)),0)</f>
        <v>0</v>
      </c>
      <c r="G118" s="4">
        <v>139</v>
      </c>
      <c r="H118" s="4">
        <f t="shared" si="5"/>
        <v>11778</v>
      </c>
      <c r="I118" s="4">
        <f t="shared" si="3"/>
        <v>11847.5</v>
      </c>
      <c r="J118" s="2" t="s">
        <v>135</v>
      </c>
    </row>
    <row r="119" spans="2:10">
      <c r="B119" s="3">
        <v>46139</v>
      </c>
      <c r="C119" s="2" t="s">
        <v>109</v>
      </c>
      <c r="D119" s="2" t="s">
        <v>18</v>
      </c>
      <c r="E119" s="4">
        <f t="shared" si="4"/>
        <v>11778</v>
      </c>
      <c r="F119" s="4">
        <f>IF(DAY(B119)=1,INDEX([1]Parametros!$C$7:$C$18,MONTH(B119)),0)</f>
        <v>0</v>
      </c>
      <c r="G119" s="4">
        <v>325</v>
      </c>
      <c r="H119" s="4">
        <f t="shared" si="5"/>
        <v>11453</v>
      </c>
      <c r="I119" s="4">
        <f t="shared" si="3"/>
        <v>11615.5</v>
      </c>
      <c r="J119" s="2" t="s">
        <v>136</v>
      </c>
    </row>
    <row r="120" spans="2:10">
      <c r="B120" s="3">
        <v>46140</v>
      </c>
      <c r="C120" s="2" t="s">
        <v>109</v>
      </c>
      <c r="D120" s="2" t="s">
        <v>20</v>
      </c>
      <c r="E120" s="4">
        <f t="shared" si="4"/>
        <v>11453</v>
      </c>
      <c r="F120" s="4">
        <f>IF(DAY(B120)=1,INDEX([1]Parametros!$C$7:$C$18,MONTH(B120)),0)</f>
        <v>0</v>
      </c>
      <c r="G120" s="4">
        <v>362</v>
      </c>
      <c r="H120" s="4">
        <f t="shared" si="5"/>
        <v>11091</v>
      </c>
      <c r="I120" s="4">
        <f t="shared" si="3"/>
        <v>11272</v>
      </c>
      <c r="J120" s="2" t="s">
        <v>137</v>
      </c>
    </row>
    <row r="121" spans="2:10">
      <c r="B121" s="3">
        <v>46141</v>
      </c>
      <c r="C121" s="2" t="s">
        <v>109</v>
      </c>
      <c r="D121" s="2" t="s">
        <v>22</v>
      </c>
      <c r="E121" s="4">
        <f t="shared" si="4"/>
        <v>11091</v>
      </c>
      <c r="F121" s="4">
        <f>IF(DAY(B121)=1,INDEX([1]Parametros!$C$7:$C$18,MONTH(B121)),0)</f>
        <v>0</v>
      </c>
      <c r="G121" s="4">
        <v>306</v>
      </c>
      <c r="H121" s="4">
        <f t="shared" si="5"/>
        <v>10785</v>
      </c>
      <c r="I121" s="4">
        <f t="shared" si="3"/>
        <v>10938</v>
      </c>
      <c r="J121" s="2" t="s">
        <v>138</v>
      </c>
    </row>
    <row r="122" spans="2:10">
      <c r="B122" s="3">
        <v>46142</v>
      </c>
      <c r="C122" s="2" t="s">
        <v>109</v>
      </c>
      <c r="D122" s="2" t="s">
        <v>10</v>
      </c>
      <c r="E122" s="4">
        <f t="shared" si="4"/>
        <v>10785</v>
      </c>
      <c r="F122" s="4">
        <f>IF(DAY(B122)=1,INDEX([1]Parametros!$C$7:$C$18,MONTH(B122)),0)</f>
        <v>0</v>
      </c>
      <c r="G122" s="4">
        <v>296</v>
      </c>
      <c r="H122" s="4">
        <f t="shared" si="5"/>
        <v>10489</v>
      </c>
      <c r="I122" s="4">
        <f t="shared" si="3"/>
        <v>10637</v>
      </c>
      <c r="J122" s="2" t="s">
        <v>139</v>
      </c>
    </row>
    <row r="123" spans="2:10">
      <c r="B123" s="3">
        <v>46143</v>
      </c>
      <c r="C123" s="2" t="s">
        <v>140</v>
      </c>
      <c r="D123" s="2" t="s">
        <v>12</v>
      </c>
      <c r="E123" s="4">
        <f t="shared" si="4"/>
        <v>10489</v>
      </c>
      <c r="F123" s="4">
        <f>IF(DAY(B123)=1,INDEX([1]Parametros!$C$7:$C$18,MONTH(B123)),0)</f>
        <v>9200</v>
      </c>
      <c r="G123" s="4">
        <v>352</v>
      </c>
      <c r="H123" s="4">
        <f t="shared" si="5"/>
        <v>19337</v>
      </c>
      <c r="I123" s="4">
        <f t="shared" si="3"/>
        <v>14913</v>
      </c>
      <c r="J123" s="2" t="s">
        <v>141</v>
      </c>
    </row>
    <row r="124" spans="2:10">
      <c r="B124" s="3">
        <v>46144</v>
      </c>
      <c r="C124" s="2" t="s">
        <v>140</v>
      </c>
      <c r="D124" s="2" t="s">
        <v>14</v>
      </c>
      <c r="E124" s="4">
        <f t="shared" si="4"/>
        <v>19337</v>
      </c>
      <c r="F124" s="4">
        <f>IF(DAY(B124)=1,INDEX([1]Parametros!$C$7:$C$18,MONTH(B124)),0)</f>
        <v>0</v>
      </c>
      <c r="G124" s="4">
        <v>190</v>
      </c>
      <c r="H124" s="4">
        <f t="shared" si="5"/>
        <v>19147</v>
      </c>
      <c r="I124" s="4">
        <f t="shared" si="3"/>
        <v>19242</v>
      </c>
      <c r="J124" s="2" t="s">
        <v>142</v>
      </c>
    </row>
    <row r="125" spans="2:10">
      <c r="B125" s="3">
        <v>46145</v>
      </c>
      <c r="C125" s="2" t="s">
        <v>140</v>
      </c>
      <c r="D125" s="2" t="s">
        <v>16</v>
      </c>
      <c r="E125" s="4">
        <f t="shared" si="4"/>
        <v>19147</v>
      </c>
      <c r="F125" s="4">
        <f>IF(DAY(B125)=1,INDEX([1]Parametros!$C$7:$C$18,MONTH(B125)),0)</f>
        <v>0</v>
      </c>
      <c r="G125" s="4">
        <v>178</v>
      </c>
      <c r="H125" s="4">
        <f t="shared" si="5"/>
        <v>18969</v>
      </c>
      <c r="I125" s="4">
        <f t="shared" si="3"/>
        <v>19058</v>
      </c>
      <c r="J125" s="2" t="s">
        <v>143</v>
      </c>
    </row>
    <row r="126" spans="2:10">
      <c r="B126" s="3">
        <v>46146</v>
      </c>
      <c r="C126" s="2" t="s">
        <v>140</v>
      </c>
      <c r="D126" s="2" t="s">
        <v>18</v>
      </c>
      <c r="E126" s="4">
        <f t="shared" si="4"/>
        <v>18969</v>
      </c>
      <c r="F126" s="4">
        <f>IF(DAY(B126)=1,INDEX([1]Parametros!$C$7:$C$18,MONTH(B126)),0)</f>
        <v>0</v>
      </c>
      <c r="G126" s="4">
        <v>309</v>
      </c>
      <c r="H126" s="4">
        <f t="shared" si="5"/>
        <v>18660</v>
      </c>
      <c r="I126" s="4">
        <f t="shared" si="3"/>
        <v>18814.5</v>
      </c>
      <c r="J126" s="2" t="s">
        <v>144</v>
      </c>
    </row>
    <row r="127" spans="2:10">
      <c r="B127" s="3">
        <v>46147</v>
      </c>
      <c r="C127" s="2" t="s">
        <v>140</v>
      </c>
      <c r="D127" s="2" t="s">
        <v>20</v>
      </c>
      <c r="E127" s="4">
        <f t="shared" si="4"/>
        <v>18660</v>
      </c>
      <c r="F127" s="4">
        <f>IF(DAY(B127)=1,INDEX([1]Parametros!$C$7:$C$18,MONTH(B127)),0)</f>
        <v>0</v>
      </c>
      <c r="G127" s="4">
        <v>356</v>
      </c>
      <c r="H127" s="4">
        <f t="shared" si="5"/>
        <v>18304</v>
      </c>
      <c r="I127" s="4">
        <f t="shared" si="3"/>
        <v>18482</v>
      </c>
      <c r="J127" s="2" t="s">
        <v>145</v>
      </c>
    </row>
    <row r="128" spans="2:10">
      <c r="B128" s="3">
        <v>46148</v>
      </c>
      <c r="C128" s="2" t="s">
        <v>140</v>
      </c>
      <c r="D128" s="2" t="s">
        <v>22</v>
      </c>
      <c r="E128" s="4">
        <f t="shared" si="4"/>
        <v>18304</v>
      </c>
      <c r="F128" s="4">
        <f>IF(DAY(B128)=1,INDEX([1]Parametros!$C$7:$C$18,MONTH(B128)),0)</f>
        <v>0</v>
      </c>
      <c r="G128" s="4">
        <v>325</v>
      </c>
      <c r="H128" s="4">
        <f t="shared" si="5"/>
        <v>17979</v>
      </c>
      <c r="I128" s="4">
        <f t="shared" si="3"/>
        <v>18141.5</v>
      </c>
      <c r="J128" s="2" t="s">
        <v>146</v>
      </c>
    </row>
    <row r="129" spans="2:10">
      <c r="B129" s="3">
        <v>46149</v>
      </c>
      <c r="C129" s="2" t="s">
        <v>140</v>
      </c>
      <c r="D129" s="2" t="s">
        <v>10</v>
      </c>
      <c r="E129" s="4">
        <f t="shared" si="4"/>
        <v>17979</v>
      </c>
      <c r="F129" s="4">
        <f>IF(DAY(B129)=1,INDEX([1]Parametros!$C$7:$C$18,MONTH(B129)),0)</f>
        <v>0</v>
      </c>
      <c r="G129" s="4">
        <v>376</v>
      </c>
      <c r="H129" s="4">
        <f t="shared" si="5"/>
        <v>17603</v>
      </c>
      <c r="I129" s="4">
        <f t="shared" si="3"/>
        <v>17791</v>
      </c>
      <c r="J129" s="2" t="s">
        <v>147</v>
      </c>
    </row>
    <row r="130" spans="2:10">
      <c r="B130" s="3">
        <v>46150</v>
      </c>
      <c r="C130" s="2" t="s">
        <v>140</v>
      </c>
      <c r="D130" s="2" t="s">
        <v>12</v>
      </c>
      <c r="E130" s="4">
        <f t="shared" si="4"/>
        <v>17603</v>
      </c>
      <c r="F130" s="4">
        <f>IF(DAY(B130)=1,INDEX([1]Parametros!$C$7:$C$18,MONTH(B130)),0)</f>
        <v>0</v>
      </c>
      <c r="G130" s="4">
        <v>357</v>
      </c>
      <c r="H130" s="4">
        <f t="shared" si="5"/>
        <v>17246</v>
      </c>
      <c r="I130" s="4">
        <f t="shared" si="3"/>
        <v>17424.5</v>
      </c>
      <c r="J130" s="2" t="s">
        <v>148</v>
      </c>
    </row>
    <row r="131" spans="2:10">
      <c r="B131" s="3">
        <v>46151</v>
      </c>
      <c r="C131" s="2" t="s">
        <v>140</v>
      </c>
      <c r="D131" s="2" t="s">
        <v>14</v>
      </c>
      <c r="E131" s="4">
        <f t="shared" si="4"/>
        <v>17246</v>
      </c>
      <c r="F131" s="4">
        <f>IF(DAY(B131)=1,INDEX([1]Parametros!$C$7:$C$18,MONTH(B131)),0)</f>
        <v>0</v>
      </c>
      <c r="G131" s="4">
        <v>263</v>
      </c>
      <c r="H131" s="4">
        <f t="shared" si="5"/>
        <v>16983</v>
      </c>
      <c r="I131" s="4">
        <f t="shared" ref="I131:I194" si="6">(E131+H131)/2</f>
        <v>17114.5</v>
      </c>
      <c r="J131" s="2" t="s">
        <v>149</v>
      </c>
    </row>
    <row r="132" spans="2:10">
      <c r="B132" s="3">
        <v>46152</v>
      </c>
      <c r="C132" s="2" t="s">
        <v>140</v>
      </c>
      <c r="D132" s="2" t="s">
        <v>16</v>
      </c>
      <c r="E132" s="4">
        <f t="shared" ref="E132:E195" si="7">H131</f>
        <v>16983</v>
      </c>
      <c r="F132" s="4">
        <f>IF(DAY(B132)=1,INDEX([1]Parametros!$C$7:$C$18,MONTH(B132)),0)</f>
        <v>0</v>
      </c>
      <c r="G132" s="4">
        <v>135</v>
      </c>
      <c r="H132" s="4">
        <f t="shared" ref="H132:H195" si="8">E132+F132-G132</f>
        <v>16848</v>
      </c>
      <c r="I132" s="4">
        <f t="shared" si="6"/>
        <v>16915.5</v>
      </c>
      <c r="J132" s="2" t="s">
        <v>150</v>
      </c>
    </row>
    <row r="133" spans="2:10">
      <c r="B133" s="3">
        <v>46153</v>
      </c>
      <c r="C133" s="2" t="s">
        <v>140</v>
      </c>
      <c r="D133" s="2" t="s">
        <v>18</v>
      </c>
      <c r="E133" s="4">
        <f t="shared" si="7"/>
        <v>16848</v>
      </c>
      <c r="F133" s="4">
        <f>IF(DAY(B133)=1,INDEX([1]Parametros!$C$7:$C$18,MONTH(B133)),0)</f>
        <v>0</v>
      </c>
      <c r="G133" s="4">
        <v>340</v>
      </c>
      <c r="H133" s="4">
        <f t="shared" si="8"/>
        <v>16508</v>
      </c>
      <c r="I133" s="4">
        <f t="shared" si="6"/>
        <v>16678</v>
      </c>
      <c r="J133" s="2" t="s">
        <v>151</v>
      </c>
    </row>
    <row r="134" spans="2:10">
      <c r="B134" s="3">
        <v>46154</v>
      </c>
      <c r="C134" s="2" t="s">
        <v>140</v>
      </c>
      <c r="D134" s="2" t="s">
        <v>20</v>
      </c>
      <c r="E134" s="4">
        <f t="shared" si="7"/>
        <v>16508</v>
      </c>
      <c r="F134" s="4">
        <f>IF(DAY(B134)=1,INDEX([1]Parametros!$C$7:$C$18,MONTH(B134)),0)</f>
        <v>0</v>
      </c>
      <c r="G134" s="4">
        <v>340</v>
      </c>
      <c r="H134" s="4">
        <f t="shared" si="8"/>
        <v>16168</v>
      </c>
      <c r="I134" s="4">
        <f t="shared" si="6"/>
        <v>16338</v>
      </c>
      <c r="J134" s="2" t="s">
        <v>152</v>
      </c>
    </row>
    <row r="135" spans="2:10">
      <c r="B135" s="3">
        <v>46155</v>
      </c>
      <c r="C135" s="2" t="s">
        <v>140</v>
      </c>
      <c r="D135" s="2" t="s">
        <v>22</v>
      </c>
      <c r="E135" s="4">
        <f t="shared" si="7"/>
        <v>16168</v>
      </c>
      <c r="F135" s="4">
        <f>IF(DAY(B135)=1,INDEX([1]Parametros!$C$7:$C$18,MONTH(B135)),0)</f>
        <v>0</v>
      </c>
      <c r="G135" s="4">
        <v>373</v>
      </c>
      <c r="H135" s="4">
        <f t="shared" si="8"/>
        <v>15795</v>
      </c>
      <c r="I135" s="4">
        <f t="shared" si="6"/>
        <v>15981.5</v>
      </c>
      <c r="J135" s="2" t="s">
        <v>153</v>
      </c>
    </row>
    <row r="136" spans="2:10">
      <c r="B136" s="3">
        <v>46156</v>
      </c>
      <c r="C136" s="2" t="s">
        <v>140</v>
      </c>
      <c r="D136" s="2" t="s">
        <v>10</v>
      </c>
      <c r="E136" s="4">
        <f t="shared" si="7"/>
        <v>15795</v>
      </c>
      <c r="F136" s="4">
        <f>IF(DAY(B136)=1,INDEX([1]Parametros!$C$7:$C$18,MONTH(B136)),0)</f>
        <v>0</v>
      </c>
      <c r="G136" s="4">
        <v>265</v>
      </c>
      <c r="H136" s="4">
        <f t="shared" si="8"/>
        <v>15530</v>
      </c>
      <c r="I136" s="4">
        <f t="shared" si="6"/>
        <v>15662.5</v>
      </c>
      <c r="J136" s="2" t="s">
        <v>154</v>
      </c>
    </row>
    <row r="137" spans="2:10">
      <c r="B137" s="3">
        <v>46157</v>
      </c>
      <c r="C137" s="2" t="s">
        <v>140</v>
      </c>
      <c r="D137" s="2" t="s">
        <v>12</v>
      </c>
      <c r="E137" s="4">
        <f t="shared" si="7"/>
        <v>15530</v>
      </c>
      <c r="F137" s="4">
        <f>IF(DAY(B137)=1,INDEX([1]Parametros!$C$7:$C$18,MONTH(B137)),0)</f>
        <v>0</v>
      </c>
      <c r="G137" s="4">
        <v>377</v>
      </c>
      <c r="H137" s="4">
        <f t="shared" si="8"/>
        <v>15153</v>
      </c>
      <c r="I137" s="4">
        <f t="shared" si="6"/>
        <v>15341.5</v>
      </c>
      <c r="J137" s="2" t="s">
        <v>155</v>
      </c>
    </row>
    <row r="138" spans="2:10">
      <c r="B138" s="3">
        <v>46158</v>
      </c>
      <c r="C138" s="2" t="s">
        <v>140</v>
      </c>
      <c r="D138" s="2" t="s">
        <v>14</v>
      </c>
      <c r="E138" s="4">
        <f t="shared" si="7"/>
        <v>15153</v>
      </c>
      <c r="F138" s="4">
        <f>IF(DAY(B138)=1,INDEX([1]Parametros!$C$7:$C$18,MONTH(B138)),0)</f>
        <v>0</v>
      </c>
      <c r="G138" s="4">
        <v>241</v>
      </c>
      <c r="H138" s="4">
        <f t="shared" si="8"/>
        <v>14912</v>
      </c>
      <c r="I138" s="4">
        <f t="shared" si="6"/>
        <v>15032.5</v>
      </c>
      <c r="J138" s="2" t="s">
        <v>156</v>
      </c>
    </row>
    <row r="139" spans="2:10">
      <c r="B139" s="3">
        <v>46159</v>
      </c>
      <c r="C139" s="2" t="s">
        <v>140</v>
      </c>
      <c r="D139" s="2" t="s">
        <v>16</v>
      </c>
      <c r="E139" s="4">
        <f t="shared" si="7"/>
        <v>14912</v>
      </c>
      <c r="F139" s="4">
        <f>IF(DAY(B139)=1,INDEX([1]Parametros!$C$7:$C$18,MONTH(B139)),0)</f>
        <v>0</v>
      </c>
      <c r="G139" s="4">
        <v>215</v>
      </c>
      <c r="H139" s="4">
        <f t="shared" si="8"/>
        <v>14697</v>
      </c>
      <c r="I139" s="4">
        <f t="shared" si="6"/>
        <v>14804.5</v>
      </c>
      <c r="J139" s="2" t="s">
        <v>157</v>
      </c>
    </row>
    <row r="140" spans="2:10">
      <c r="B140" s="3">
        <v>46160</v>
      </c>
      <c r="C140" s="2" t="s">
        <v>140</v>
      </c>
      <c r="D140" s="2" t="s">
        <v>18</v>
      </c>
      <c r="E140" s="4">
        <f t="shared" si="7"/>
        <v>14697</v>
      </c>
      <c r="F140" s="4">
        <f>IF(DAY(B140)=1,INDEX([1]Parametros!$C$7:$C$18,MONTH(B140)),0)</f>
        <v>0</v>
      </c>
      <c r="G140" s="4">
        <v>363</v>
      </c>
      <c r="H140" s="4">
        <f t="shared" si="8"/>
        <v>14334</v>
      </c>
      <c r="I140" s="4">
        <f t="shared" si="6"/>
        <v>14515.5</v>
      </c>
      <c r="J140" s="2" t="s">
        <v>158</v>
      </c>
    </row>
    <row r="141" spans="2:10">
      <c r="B141" s="3">
        <v>46161</v>
      </c>
      <c r="C141" s="2" t="s">
        <v>140</v>
      </c>
      <c r="D141" s="2" t="s">
        <v>20</v>
      </c>
      <c r="E141" s="4">
        <f t="shared" si="7"/>
        <v>14334</v>
      </c>
      <c r="F141" s="4">
        <f>IF(DAY(B141)=1,INDEX([1]Parametros!$C$7:$C$18,MONTH(B141)),0)</f>
        <v>0</v>
      </c>
      <c r="G141" s="4">
        <v>332</v>
      </c>
      <c r="H141" s="4">
        <f t="shared" si="8"/>
        <v>14002</v>
      </c>
      <c r="I141" s="4">
        <f t="shared" si="6"/>
        <v>14168</v>
      </c>
      <c r="J141" s="2" t="s">
        <v>159</v>
      </c>
    </row>
    <row r="142" spans="2:10">
      <c r="B142" s="3">
        <v>46162</v>
      </c>
      <c r="C142" s="2" t="s">
        <v>140</v>
      </c>
      <c r="D142" s="2" t="s">
        <v>22</v>
      </c>
      <c r="E142" s="4">
        <f t="shared" si="7"/>
        <v>14002</v>
      </c>
      <c r="F142" s="4">
        <f>IF(DAY(B142)=1,INDEX([1]Parametros!$C$7:$C$18,MONTH(B142)),0)</f>
        <v>0</v>
      </c>
      <c r="G142" s="4">
        <v>310</v>
      </c>
      <c r="H142" s="4">
        <f t="shared" si="8"/>
        <v>13692</v>
      </c>
      <c r="I142" s="4">
        <f t="shared" si="6"/>
        <v>13847</v>
      </c>
      <c r="J142" s="2" t="s">
        <v>160</v>
      </c>
    </row>
    <row r="143" spans="2:10">
      <c r="B143" s="3">
        <v>46163</v>
      </c>
      <c r="C143" s="2" t="s">
        <v>140</v>
      </c>
      <c r="D143" s="2" t="s">
        <v>10</v>
      </c>
      <c r="E143" s="4">
        <f t="shared" si="7"/>
        <v>13692</v>
      </c>
      <c r="F143" s="4">
        <f>IF(DAY(B143)=1,INDEX([1]Parametros!$C$7:$C$18,MONTH(B143)),0)</f>
        <v>0</v>
      </c>
      <c r="G143" s="4">
        <v>277</v>
      </c>
      <c r="H143" s="4">
        <f t="shared" si="8"/>
        <v>13415</v>
      </c>
      <c r="I143" s="4">
        <f t="shared" si="6"/>
        <v>13553.5</v>
      </c>
      <c r="J143" s="2" t="s">
        <v>161</v>
      </c>
    </row>
    <row r="144" spans="2:10">
      <c r="B144" s="3">
        <v>46164</v>
      </c>
      <c r="C144" s="2" t="s">
        <v>140</v>
      </c>
      <c r="D144" s="2" t="s">
        <v>12</v>
      </c>
      <c r="E144" s="4">
        <f t="shared" si="7"/>
        <v>13415</v>
      </c>
      <c r="F144" s="4">
        <f>IF(DAY(B144)=1,INDEX([1]Parametros!$C$7:$C$18,MONTH(B144)),0)</f>
        <v>0</v>
      </c>
      <c r="G144" s="4">
        <v>355</v>
      </c>
      <c r="H144" s="4">
        <f t="shared" si="8"/>
        <v>13060</v>
      </c>
      <c r="I144" s="4">
        <f t="shared" si="6"/>
        <v>13237.5</v>
      </c>
      <c r="J144" s="2" t="s">
        <v>162</v>
      </c>
    </row>
    <row r="145" spans="2:10">
      <c r="B145" s="3">
        <v>46165</v>
      </c>
      <c r="C145" s="2" t="s">
        <v>140</v>
      </c>
      <c r="D145" s="2" t="s">
        <v>14</v>
      </c>
      <c r="E145" s="4">
        <f t="shared" si="7"/>
        <v>13060</v>
      </c>
      <c r="F145" s="4">
        <f>IF(DAY(B145)=1,INDEX([1]Parametros!$C$7:$C$18,MONTH(B145)),0)</f>
        <v>0</v>
      </c>
      <c r="G145" s="4">
        <v>219</v>
      </c>
      <c r="H145" s="4">
        <f t="shared" si="8"/>
        <v>12841</v>
      </c>
      <c r="I145" s="4">
        <f t="shared" si="6"/>
        <v>12950.5</v>
      </c>
      <c r="J145" s="2" t="s">
        <v>163</v>
      </c>
    </row>
    <row r="146" spans="2:10">
      <c r="B146" s="3">
        <v>46166</v>
      </c>
      <c r="C146" s="2" t="s">
        <v>140</v>
      </c>
      <c r="D146" s="2" t="s">
        <v>16</v>
      </c>
      <c r="E146" s="4">
        <f t="shared" si="7"/>
        <v>12841</v>
      </c>
      <c r="F146" s="4">
        <f>IF(DAY(B146)=1,INDEX([1]Parametros!$C$7:$C$18,MONTH(B146)),0)</f>
        <v>0</v>
      </c>
      <c r="G146" s="4">
        <v>228</v>
      </c>
      <c r="H146" s="4">
        <f t="shared" si="8"/>
        <v>12613</v>
      </c>
      <c r="I146" s="4">
        <f t="shared" si="6"/>
        <v>12727</v>
      </c>
      <c r="J146" s="2" t="s">
        <v>164</v>
      </c>
    </row>
    <row r="147" spans="2:10">
      <c r="B147" s="3">
        <v>46167</v>
      </c>
      <c r="C147" s="2" t="s">
        <v>140</v>
      </c>
      <c r="D147" s="2" t="s">
        <v>18</v>
      </c>
      <c r="E147" s="4">
        <f t="shared" si="7"/>
        <v>12613</v>
      </c>
      <c r="F147" s="4">
        <f>IF(DAY(B147)=1,INDEX([1]Parametros!$C$7:$C$18,MONTH(B147)),0)</f>
        <v>0</v>
      </c>
      <c r="G147" s="4">
        <v>326</v>
      </c>
      <c r="H147" s="4">
        <f t="shared" si="8"/>
        <v>12287</v>
      </c>
      <c r="I147" s="4">
        <f t="shared" si="6"/>
        <v>12450</v>
      </c>
      <c r="J147" s="2" t="s">
        <v>165</v>
      </c>
    </row>
    <row r="148" spans="2:10">
      <c r="B148" s="3">
        <v>46168</v>
      </c>
      <c r="C148" s="2" t="s">
        <v>140</v>
      </c>
      <c r="D148" s="2" t="s">
        <v>20</v>
      </c>
      <c r="E148" s="4">
        <f t="shared" si="7"/>
        <v>12287</v>
      </c>
      <c r="F148" s="4">
        <f>IF(DAY(B148)=1,INDEX([1]Parametros!$C$7:$C$18,MONTH(B148)),0)</f>
        <v>0</v>
      </c>
      <c r="G148" s="4">
        <v>340</v>
      </c>
      <c r="H148" s="4">
        <f t="shared" si="8"/>
        <v>11947</v>
      </c>
      <c r="I148" s="4">
        <f t="shared" si="6"/>
        <v>12117</v>
      </c>
      <c r="J148" s="2" t="s">
        <v>166</v>
      </c>
    </row>
    <row r="149" spans="2:10">
      <c r="B149" s="3">
        <v>46169</v>
      </c>
      <c r="C149" s="2" t="s">
        <v>140</v>
      </c>
      <c r="D149" s="2" t="s">
        <v>22</v>
      </c>
      <c r="E149" s="4">
        <f t="shared" si="7"/>
        <v>11947</v>
      </c>
      <c r="F149" s="4">
        <f>IF(DAY(B149)=1,INDEX([1]Parametros!$C$7:$C$18,MONTH(B149)),0)</f>
        <v>0</v>
      </c>
      <c r="G149" s="4">
        <v>281</v>
      </c>
      <c r="H149" s="4">
        <f t="shared" si="8"/>
        <v>11666</v>
      </c>
      <c r="I149" s="4">
        <f t="shared" si="6"/>
        <v>11806.5</v>
      </c>
      <c r="J149" s="2" t="s">
        <v>167</v>
      </c>
    </row>
    <row r="150" spans="2:10">
      <c r="B150" s="3">
        <v>46170</v>
      </c>
      <c r="C150" s="2" t="s">
        <v>140</v>
      </c>
      <c r="D150" s="2" t="s">
        <v>10</v>
      </c>
      <c r="E150" s="4">
        <f t="shared" si="7"/>
        <v>11666</v>
      </c>
      <c r="F150" s="4">
        <f>IF(DAY(B150)=1,INDEX([1]Parametros!$C$7:$C$18,MONTH(B150)),0)</f>
        <v>0</v>
      </c>
      <c r="G150" s="4">
        <v>301</v>
      </c>
      <c r="H150" s="4">
        <f t="shared" si="8"/>
        <v>11365</v>
      </c>
      <c r="I150" s="4">
        <f t="shared" si="6"/>
        <v>11515.5</v>
      </c>
      <c r="J150" s="2" t="s">
        <v>168</v>
      </c>
    </row>
    <row r="151" spans="2:10">
      <c r="B151" s="3">
        <v>46171</v>
      </c>
      <c r="C151" s="2" t="s">
        <v>140</v>
      </c>
      <c r="D151" s="2" t="s">
        <v>12</v>
      </c>
      <c r="E151" s="4">
        <f t="shared" si="7"/>
        <v>11365</v>
      </c>
      <c r="F151" s="4">
        <f>IF(DAY(B151)=1,INDEX([1]Parametros!$C$7:$C$18,MONTH(B151)),0)</f>
        <v>0</v>
      </c>
      <c r="G151" s="4">
        <v>357</v>
      </c>
      <c r="H151" s="4">
        <f t="shared" si="8"/>
        <v>11008</v>
      </c>
      <c r="I151" s="4">
        <f t="shared" si="6"/>
        <v>11186.5</v>
      </c>
      <c r="J151" s="2" t="s">
        <v>169</v>
      </c>
    </row>
    <row r="152" spans="2:10">
      <c r="B152" s="3">
        <v>46172</v>
      </c>
      <c r="C152" s="2" t="s">
        <v>140</v>
      </c>
      <c r="D152" s="2" t="s">
        <v>14</v>
      </c>
      <c r="E152" s="4">
        <f t="shared" si="7"/>
        <v>11008</v>
      </c>
      <c r="F152" s="4">
        <f>IF(DAY(B152)=1,INDEX([1]Parametros!$C$7:$C$18,MONTH(B152)),0)</f>
        <v>0</v>
      </c>
      <c r="G152" s="4">
        <v>248</v>
      </c>
      <c r="H152" s="4">
        <f t="shared" si="8"/>
        <v>10760</v>
      </c>
      <c r="I152" s="4">
        <f t="shared" si="6"/>
        <v>10884</v>
      </c>
      <c r="J152" s="2" t="s">
        <v>170</v>
      </c>
    </row>
    <row r="153" spans="2:10">
      <c r="B153" s="3">
        <v>46173</v>
      </c>
      <c r="C153" s="2" t="s">
        <v>140</v>
      </c>
      <c r="D153" s="2" t="s">
        <v>16</v>
      </c>
      <c r="E153" s="4">
        <f t="shared" si="7"/>
        <v>10760</v>
      </c>
      <c r="F153" s="4">
        <f>IF(DAY(B153)=1,INDEX([1]Parametros!$C$7:$C$18,MONTH(B153)),0)</f>
        <v>0</v>
      </c>
      <c r="G153" s="4">
        <v>212</v>
      </c>
      <c r="H153" s="4">
        <f t="shared" si="8"/>
        <v>10548</v>
      </c>
      <c r="I153" s="4">
        <f t="shared" si="6"/>
        <v>10654</v>
      </c>
      <c r="J153" s="2" t="s">
        <v>171</v>
      </c>
    </row>
    <row r="154" spans="2:10">
      <c r="B154" s="3">
        <v>46174</v>
      </c>
      <c r="C154" s="2" t="s">
        <v>172</v>
      </c>
      <c r="D154" s="2" t="s">
        <v>18</v>
      </c>
      <c r="E154" s="4">
        <f t="shared" si="7"/>
        <v>10548</v>
      </c>
      <c r="F154" s="4">
        <f>IF(DAY(B154)=1,INDEX([1]Parametros!$C$7:$C$18,MONTH(B154)),0)</f>
        <v>8500</v>
      </c>
      <c r="G154" s="4">
        <v>322</v>
      </c>
      <c r="H154" s="4">
        <f t="shared" si="8"/>
        <v>18726</v>
      </c>
      <c r="I154" s="4">
        <f t="shared" si="6"/>
        <v>14637</v>
      </c>
      <c r="J154" s="2" t="s">
        <v>173</v>
      </c>
    </row>
    <row r="155" spans="2:10">
      <c r="B155" s="3">
        <v>46175</v>
      </c>
      <c r="C155" s="2" t="s">
        <v>172</v>
      </c>
      <c r="D155" s="2" t="s">
        <v>20</v>
      </c>
      <c r="E155" s="4">
        <f t="shared" si="7"/>
        <v>18726</v>
      </c>
      <c r="F155" s="4">
        <f>IF(DAY(B155)=1,INDEX([1]Parametros!$C$7:$C$18,MONTH(B155)),0)</f>
        <v>0</v>
      </c>
      <c r="G155" s="4">
        <v>280</v>
      </c>
      <c r="H155" s="4">
        <f t="shared" si="8"/>
        <v>18446</v>
      </c>
      <c r="I155" s="4">
        <f t="shared" si="6"/>
        <v>18586</v>
      </c>
      <c r="J155" s="2" t="s">
        <v>174</v>
      </c>
    </row>
    <row r="156" spans="2:10">
      <c r="B156" s="3">
        <v>46176</v>
      </c>
      <c r="C156" s="2" t="s">
        <v>172</v>
      </c>
      <c r="D156" s="2" t="s">
        <v>22</v>
      </c>
      <c r="E156" s="4">
        <f t="shared" si="7"/>
        <v>18446</v>
      </c>
      <c r="F156" s="4">
        <f>IF(DAY(B156)=1,INDEX([1]Parametros!$C$7:$C$18,MONTH(B156)),0)</f>
        <v>0</v>
      </c>
      <c r="G156" s="4">
        <v>319</v>
      </c>
      <c r="H156" s="4">
        <f t="shared" si="8"/>
        <v>18127</v>
      </c>
      <c r="I156" s="4">
        <f t="shared" si="6"/>
        <v>18286.5</v>
      </c>
      <c r="J156" s="2" t="s">
        <v>175</v>
      </c>
    </row>
    <row r="157" spans="2:10">
      <c r="B157" s="3">
        <v>46177</v>
      </c>
      <c r="C157" s="2" t="s">
        <v>172</v>
      </c>
      <c r="D157" s="2" t="s">
        <v>10</v>
      </c>
      <c r="E157" s="4">
        <f t="shared" si="7"/>
        <v>18127</v>
      </c>
      <c r="F157" s="4">
        <f>IF(DAY(B157)=1,INDEX([1]Parametros!$C$7:$C$18,MONTH(B157)),0)</f>
        <v>0</v>
      </c>
      <c r="G157" s="4">
        <v>308</v>
      </c>
      <c r="H157" s="4">
        <f t="shared" si="8"/>
        <v>17819</v>
      </c>
      <c r="I157" s="4">
        <f t="shared" si="6"/>
        <v>17973</v>
      </c>
      <c r="J157" s="2" t="s">
        <v>176</v>
      </c>
    </row>
    <row r="158" spans="2:10">
      <c r="B158" s="3">
        <v>46178</v>
      </c>
      <c r="C158" s="2" t="s">
        <v>172</v>
      </c>
      <c r="D158" s="2" t="s">
        <v>12</v>
      </c>
      <c r="E158" s="4">
        <f t="shared" si="7"/>
        <v>17819</v>
      </c>
      <c r="F158" s="4">
        <f>IF(DAY(B158)=1,INDEX([1]Parametros!$C$7:$C$18,MONTH(B158)),0)</f>
        <v>0</v>
      </c>
      <c r="G158" s="4">
        <v>343</v>
      </c>
      <c r="H158" s="4">
        <f t="shared" si="8"/>
        <v>17476</v>
      </c>
      <c r="I158" s="4">
        <f t="shared" si="6"/>
        <v>17647.5</v>
      </c>
      <c r="J158" s="2" t="s">
        <v>177</v>
      </c>
    </row>
    <row r="159" spans="2:10">
      <c r="B159" s="3">
        <v>46179</v>
      </c>
      <c r="C159" s="2" t="s">
        <v>172</v>
      </c>
      <c r="D159" s="2" t="s">
        <v>14</v>
      </c>
      <c r="E159" s="4">
        <f t="shared" si="7"/>
        <v>17476</v>
      </c>
      <c r="F159" s="4">
        <f>IF(DAY(B159)=1,INDEX([1]Parametros!$C$7:$C$18,MONTH(B159)),0)</f>
        <v>0</v>
      </c>
      <c r="G159" s="4">
        <v>192</v>
      </c>
      <c r="H159" s="4">
        <f t="shared" si="8"/>
        <v>17284</v>
      </c>
      <c r="I159" s="4">
        <f t="shared" si="6"/>
        <v>17380</v>
      </c>
      <c r="J159" s="2" t="s">
        <v>178</v>
      </c>
    </row>
    <row r="160" spans="2:10">
      <c r="B160" s="3">
        <v>46180</v>
      </c>
      <c r="C160" s="2" t="s">
        <v>172</v>
      </c>
      <c r="D160" s="2" t="s">
        <v>16</v>
      </c>
      <c r="E160" s="4">
        <f t="shared" si="7"/>
        <v>17284</v>
      </c>
      <c r="F160" s="4">
        <f>IF(DAY(B160)=1,INDEX([1]Parametros!$C$7:$C$18,MONTH(B160)),0)</f>
        <v>0</v>
      </c>
      <c r="G160" s="4">
        <v>193</v>
      </c>
      <c r="H160" s="4">
        <f t="shared" si="8"/>
        <v>17091</v>
      </c>
      <c r="I160" s="4">
        <f t="shared" si="6"/>
        <v>17187.5</v>
      </c>
      <c r="J160" s="2" t="s">
        <v>179</v>
      </c>
    </row>
    <row r="161" spans="2:10">
      <c r="B161" s="3">
        <v>46181</v>
      </c>
      <c r="C161" s="2" t="s">
        <v>172</v>
      </c>
      <c r="D161" s="2" t="s">
        <v>18</v>
      </c>
      <c r="E161" s="4">
        <f t="shared" si="7"/>
        <v>17091</v>
      </c>
      <c r="F161" s="4">
        <f>IF(DAY(B161)=1,INDEX([1]Parametros!$C$7:$C$18,MONTH(B161)),0)</f>
        <v>0</v>
      </c>
      <c r="G161" s="4">
        <v>326</v>
      </c>
      <c r="H161" s="4">
        <f t="shared" si="8"/>
        <v>16765</v>
      </c>
      <c r="I161" s="4">
        <f t="shared" si="6"/>
        <v>16928</v>
      </c>
      <c r="J161" s="2" t="s">
        <v>180</v>
      </c>
    </row>
    <row r="162" spans="2:10">
      <c r="B162" s="3">
        <v>46182</v>
      </c>
      <c r="C162" s="2" t="s">
        <v>172</v>
      </c>
      <c r="D162" s="2" t="s">
        <v>20</v>
      </c>
      <c r="E162" s="4">
        <f t="shared" si="7"/>
        <v>16765</v>
      </c>
      <c r="F162" s="4">
        <f>IF(DAY(B162)=1,INDEX([1]Parametros!$C$7:$C$18,MONTH(B162)),0)</f>
        <v>0</v>
      </c>
      <c r="G162" s="4">
        <v>331</v>
      </c>
      <c r="H162" s="4">
        <f t="shared" si="8"/>
        <v>16434</v>
      </c>
      <c r="I162" s="4">
        <f t="shared" si="6"/>
        <v>16599.5</v>
      </c>
      <c r="J162" s="2" t="s">
        <v>181</v>
      </c>
    </row>
    <row r="163" spans="2:10">
      <c r="B163" s="3">
        <v>46183</v>
      </c>
      <c r="C163" s="2" t="s">
        <v>172</v>
      </c>
      <c r="D163" s="2" t="s">
        <v>22</v>
      </c>
      <c r="E163" s="4">
        <f t="shared" si="7"/>
        <v>16434</v>
      </c>
      <c r="F163" s="4">
        <f>IF(DAY(B163)=1,INDEX([1]Parametros!$C$7:$C$18,MONTH(B163)),0)</f>
        <v>0</v>
      </c>
      <c r="G163" s="4">
        <v>341</v>
      </c>
      <c r="H163" s="4">
        <f t="shared" si="8"/>
        <v>16093</v>
      </c>
      <c r="I163" s="4">
        <f t="shared" si="6"/>
        <v>16263.5</v>
      </c>
      <c r="J163" s="2" t="s">
        <v>182</v>
      </c>
    </row>
    <row r="164" spans="2:10">
      <c r="B164" s="3">
        <v>46184</v>
      </c>
      <c r="C164" s="2" t="s">
        <v>172</v>
      </c>
      <c r="D164" s="2" t="s">
        <v>10</v>
      </c>
      <c r="E164" s="4">
        <f t="shared" si="7"/>
        <v>16093</v>
      </c>
      <c r="F164" s="4">
        <f>IF(DAY(B164)=1,INDEX([1]Parametros!$C$7:$C$18,MONTH(B164)),0)</f>
        <v>0</v>
      </c>
      <c r="G164" s="4">
        <v>311</v>
      </c>
      <c r="H164" s="4">
        <f t="shared" si="8"/>
        <v>15782</v>
      </c>
      <c r="I164" s="4">
        <f t="shared" si="6"/>
        <v>15937.5</v>
      </c>
      <c r="J164" s="2" t="s">
        <v>183</v>
      </c>
    </row>
    <row r="165" spans="2:10">
      <c r="B165" s="3">
        <v>46185</v>
      </c>
      <c r="C165" s="2" t="s">
        <v>172</v>
      </c>
      <c r="D165" s="2" t="s">
        <v>12</v>
      </c>
      <c r="E165" s="4">
        <f t="shared" si="7"/>
        <v>15782</v>
      </c>
      <c r="F165" s="4">
        <f>IF(DAY(B165)=1,INDEX([1]Parametros!$C$7:$C$18,MONTH(B165)),0)</f>
        <v>0</v>
      </c>
      <c r="G165" s="4">
        <v>337</v>
      </c>
      <c r="H165" s="4">
        <f t="shared" si="8"/>
        <v>15445</v>
      </c>
      <c r="I165" s="4">
        <f t="shared" si="6"/>
        <v>15613.5</v>
      </c>
      <c r="J165" s="2" t="s">
        <v>184</v>
      </c>
    </row>
    <row r="166" spans="2:10">
      <c r="B166" s="3">
        <v>46186</v>
      </c>
      <c r="C166" s="2" t="s">
        <v>172</v>
      </c>
      <c r="D166" s="2" t="s">
        <v>14</v>
      </c>
      <c r="E166" s="4">
        <f t="shared" si="7"/>
        <v>15445</v>
      </c>
      <c r="F166" s="4">
        <f>IF(DAY(B166)=1,INDEX([1]Parametros!$C$7:$C$18,MONTH(B166)),0)</f>
        <v>0</v>
      </c>
      <c r="G166" s="4">
        <v>272</v>
      </c>
      <c r="H166" s="4">
        <f t="shared" si="8"/>
        <v>15173</v>
      </c>
      <c r="I166" s="4">
        <f t="shared" si="6"/>
        <v>15309</v>
      </c>
      <c r="J166" s="2" t="s">
        <v>185</v>
      </c>
    </row>
    <row r="167" spans="2:10">
      <c r="B167" s="3">
        <v>46187</v>
      </c>
      <c r="C167" s="2" t="s">
        <v>172</v>
      </c>
      <c r="D167" s="2" t="s">
        <v>16</v>
      </c>
      <c r="E167" s="4">
        <f t="shared" si="7"/>
        <v>15173</v>
      </c>
      <c r="F167" s="4">
        <f>IF(DAY(B167)=1,INDEX([1]Parametros!$C$7:$C$18,MONTH(B167)),0)</f>
        <v>0</v>
      </c>
      <c r="G167" s="4">
        <v>169</v>
      </c>
      <c r="H167" s="4">
        <f t="shared" si="8"/>
        <v>15004</v>
      </c>
      <c r="I167" s="4">
        <f t="shared" si="6"/>
        <v>15088.5</v>
      </c>
      <c r="J167" s="2" t="s">
        <v>186</v>
      </c>
    </row>
    <row r="168" spans="2:10">
      <c r="B168" s="3">
        <v>46188</v>
      </c>
      <c r="C168" s="2" t="s">
        <v>172</v>
      </c>
      <c r="D168" s="2" t="s">
        <v>18</v>
      </c>
      <c r="E168" s="4">
        <f t="shared" si="7"/>
        <v>15004</v>
      </c>
      <c r="F168" s="4">
        <f>IF(DAY(B168)=1,INDEX([1]Parametros!$C$7:$C$18,MONTH(B168)),0)</f>
        <v>0</v>
      </c>
      <c r="G168" s="4">
        <v>315</v>
      </c>
      <c r="H168" s="4">
        <f t="shared" si="8"/>
        <v>14689</v>
      </c>
      <c r="I168" s="4">
        <f t="shared" si="6"/>
        <v>14846.5</v>
      </c>
      <c r="J168" s="2" t="s">
        <v>187</v>
      </c>
    </row>
    <row r="169" spans="2:10">
      <c r="B169" s="3">
        <v>46189</v>
      </c>
      <c r="C169" s="2" t="s">
        <v>172</v>
      </c>
      <c r="D169" s="2" t="s">
        <v>20</v>
      </c>
      <c r="E169" s="4">
        <f t="shared" si="7"/>
        <v>14689</v>
      </c>
      <c r="F169" s="4">
        <f>IF(DAY(B169)=1,INDEX([1]Parametros!$C$7:$C$18,MONTH(B169)),0)</f>
        <v>0</v>
      </c>
      <c r="G169" s="4">
        <v>315</v>
      </c>
      <c r="H169" s="4">
        <f t="shared" si="8"/>
        <v>14374</v>
      </c>
      <c r="I169" s="4">
        <f t="shared" si="6"/>
        <v>14531.5</v>
      </c>
      <c r="J169" s="2" t="s">
        <v>188</v>
      </c>
    </row>
    <row r="170" spans="2:10">
      <c r="B170" s="3">
        <v>46190</v>
      </c>
      <c r="C170" s="2" t="s">
        <v>172</v>
      </c>
      <c r="D170" s="2" t="s">
        <v>22</v>
      </c>
      <c r="E170" s="4">
        <f t="shared" si="7"/>
        <v>14374</v>
      </c>
      <c r="F170" s="4">
        <f>IF(DAY(B170)=1,INDEX([1]Parametros!$C$7:$C$18,MONTH(B170)),0)</f>
        <v>0</v>
      </c>
      <c r="G170" s="4">
        <v>347</v>
      </c>
      <c r="H170" s="4">
        <f t="shared" si="8"/>
        <v>14027</v>
      </c>
      <c r="I170" s="4">
        <f t="shared" si="6"/>
        <v>14200.5</v>
      </c>
      <c r="J170" s="2" t="s">
        <v>189</v>
      </c>
    </row>
    <row r="171" spans="2:10">
      <c r="B171" s="3">
        <v>46191</v>
      </c>
      <c r="C171" s="2" t="s">
        <v>172</v>
      </c>
      <c r="D171" s="2" t="s">
        <v>10</v>
      </c>
      <c r="E171" s="4">
        <f t="shared" si="7"/>
        <v>14027</v>
      </c>
      <c r="F171" s="4">
        <f>IF(DAY(B171)=1,INDEX([1]Parametros!$C$7:$C$18,MONTH(B171)),0)</f>
        <v>0</v>
      </c>
      <c r="G171" s="4">
        <v>297</v>
      </c>
      <c r="H171" s="4">
        <f t="shared" si="8"/>
        <v>13730</v>
      </c>
      <c r="I171" s="4">
        <f t="shared" si="6"/>
        <v>13878.5</v>
      </c>
      <c r="J171" s="2" t="s">
        <v>190</v>
      </c>
    </row>
    <row r="172" spans="2:10">
      <c r="B172" s="3">
        <v>46192</v>
      </c>
      <c r="C172" s="2" t="s">
        <v>172</v>
      </c>
      <c r="D172" s="2" t="s">
        <v>12</v>
      </c>
      <c r="E172" s="4">
        <f t="shared" si="7"/>
        <v>13730</v>
      </c>
      <c r="F172" s="4">
        <f>IF(DAY(B172)=1,INDEX([1]Parametros!$C$7:$C$18,MONTH(B172)),0)</f>
        <v>0</v>
      </c>
      <c r="G172" s="4">
        <v>344</v>
      </c>
      <c r="H172" s="4">
        <f t="shared" si="8"/>
        <v>13386</v>
      </c>
      <c r="I172" s="4">
        <f t="shared" si="6"/>
        <v>13558</v>
      </c>
      <c r="J172" s="2" t="s">
        <v>191</v>
      </c>
    </row>
    <row r="173" spans="2:10">
      <c r="B173" s="3">
        <v>46193</v>
      </c>
      <c r="C173" s="2" t="s">
        <v>172</v>
      </c>
      <c r="D173" s="2" t="s">
        <v>14</v>
      </c>
      <c r="E173" s="4">
        <f t="shared" si="7"/>
        <v>13386</v>
      </c>
      <c r="F173" s="4">
        <f>IF(DAY(B173)=1,INDEX([1]Parametros!$C$7:$C$18,MONTH(B173)),0)</f>
        <v>0</v>
      </c>
      <c r="G173" s="4">
        <v>245</v>
      </c>
      <c r="H173" s="4">
        <f t="shared" si="8"/>
        <v>13141</v>
      </c>
      <c r="I173" s="4">
        <f t="shared" si="6"/>
        <v>13263.5</v>
      </c>
      <c r="J173" s="2" t="s">
        <v>192</v>
      </c>
    </row>
    <row r="174" spans="2:10">
      <c r="B174" s="3">
        <v>46194</v>
      </c>
      <c r="C174" s="2" t="s">
        <v>172</v>
      </c>
      <c r="D174" s="2" t="s">
        <v>16</v>
      </c>
      <c r="E174" s="4">
        <f t="shared" si="7"/>
        <v>13141</v>
      </c>
      <c r="F174" s="4">
        <f>IF(DAY(B174)=1,INDEX([1]Parametros!$C$7:$C$18,MONTH(B174)),0)</f>
        <v>0</v>
      </c>
      <c r="G174" s="4">
        <v>147</v>
      </c>
      <c r="H174" s="4">
        <f t="shared" si="8"/>
        <v>12994</v>
      </c>
      <c r="I174" s="4">
        <f t="shared" si="6"/>
        <v>13067.5</v>
      </c>
      <c r="J174" s="2" t="s">
        <v>193</v>
      </c>
    </row>
    <row r="175" spans="2:10">
      <c r="B175" s="3">
        <v>46195</v>
      </c>
      <c r="C175" s="2" t="s">
        <v>172</v>
      </c>
      <c r="D175" s="2" t="s">
        <v>18</v>
      </c>
      <c r="E175" s="4">
        <f t="shared" si="7"/>
        <v>12994</v>
      </c>
      <c r="F175" s="4">
        <f>IF(DAY(B175)=1,INDEX([1]Parametros!$C$7:$C$18,MONTH(B175)),0)</f>
        <v>0</v>
      </c>
      <c r="G175" s="4">
        <v>275</v>
      </c>
      <c r="H175" s="4">
        <f t="shared" si="8"/>
        <v>12719</v>
      </c>
      <c r="I175" s="4">
        <f t="shared" si="6"/>
        <v>12856.5</v>
      </c>
      <c r="J175" s="2" t="s">
        <v>194</v>
      </c>
    </row>
    <row r="176" spans="2:10">
      <c r="B176" s="3">
        <v>46196</v>
      </c>
      <c r="C176" s="2" t="s">
        <v>172</v>
      </c>
      <c r="D176" s="2" t="s">
        <v>20</v>
      </c>
      <c r="E176" s="4">
        <f t="shared" si="7"/>
        <v>12719</v>
      </c>
      <c r="F176" s="4">
        <f>IF(DAY(B176)=1,INDEX([1]Parametros!$C$7:$C$18,MONTH(B176)),0)</f>
        <v>0</v>
      </c>
      <c r="G176" s="4">
        <v>320</v>
      </c>
      <c r="H176" s="4">
        <f t="shared" si="8"/>
        <v>12399</v>
      </c>
      <c r="I176" s="4">
        <f t="shared" si="6"/>
        <v>12559</v>
      </c>
      <c r="J176" s="2" t="s">
        <v>195</v>
      </c>
    </row>
    <row r="177" spans="2:10">
      <c r="B177" s="3">
        <v>46197</v>
      </c>
      <c r="C177" s="2" t="s">
        <v>172</v>
      </c>
      <c r="D177" s="2" t="s">
        <v>22</v>
      </c>
      <c r="E177" s="4">
        <f t="shared" si="7"/>
        <v>12399</v>
      </c>
      <c r="F177" s="4">
        <f>IF(DAY(B177)=1,INDEX([1]Parametros!$C$7:$C$18,MONTH(B177)),0)</f>
        <v>0</v>
      </c>
      <c r="G177" s="4">
        <v>312</v>
      </c>
      <c r="H177" s="4">
        <f t="shared" si="8"/>
        <v>12087</v>
      </c>
      <c r="I177" s="4">
        <f t="shared" si="6"/>
        <v>12243</v>
      </c>
      <c r="J177" s="2" t="s">
        <v>196</v>
      </c>
    </row>
    <row r="178" spans="2:10">
      <c r="B178" s="3">
        <v>46198</v>
      </c>
      <c r="C178" s="2" t="s">
        <v>172</v>
      </c>
      <c r="D178" s="2" t="s">
        <v>10</v>
      </c>
      <c r="E178" s="4">
        <f t="shared" si="7"/>
        <v>12087</v>
      </c>
      <c r="F178" s="4">
        <f>IF(DAY(B178)=1,INDEX([1]Parametros!$C$7:$C$18,MONTH(B178)),0)</f>
        <v>0</v>
      </c>
      <c r="G178" s="4">
        <v>277</v>
      </c>
      <c r="H178" s="4">
        <f t="shared" si="8"/>
        <v>11810</v>
      </c>
      <c r="I178" s="4">
        <f t="shared" si="6"/>
        <v>11948.5</v>
      </c>
      <c r="J178" s="2" t="s">
        <v>197</v>
      </c>
    </row>
    <row r="179" spans="2:10">
      <c r="B179" s="3">
        <v>46199</v>
      </c>
      <c r="C179" s="2" t="s">
        <v>172</v>
      </c>
      <c r="D179" s="2" t="s">
        <v>12</v>
      </c>
      <c r="E179" s="4">
        <f t="shared" si="7"/>
        <v>11810</v>
      </c>
      <c r="F179" s="4">
        <f>IF(DAY(B179)=1,INDEX([1]Parametros!$C$7:$C$18,MONTH(B179)),0)</f>
        <v>0</v>
      </c>
      <c r="G179" s="4">
        <v>354</v>
      </c>
      <c r="H179" s="4">
        <f t="shared" si="8"/>
        <v>11456</v>
      </c>
      <c r="I179" s="4">
        <f t="shared" si="6"/>
        <v>11633</v>
      </c>
      <c r="J179" s="2" t="s">
        <v>198</v>
      </c>
    </row>
    <row r="180" spans="2:10">
      <c r="B180" s="3">
        <v>46200</v>
      </c>
      <c r="C180" s="2" t="s">
        <v>172</v>
      </c>
      <c r="D180" s="2" t="s">
        <v>14</v>
      </c>
      <c r="E180" s="4">
        <f t="shared" si="7"/>
        <v>11456</v>
      </c>
      <c r="F180" s="4">
        <f>IF(DAY(B180)=1,INDEX([1]Parametros!$C$7:$C$18,MONTH(B180)),0)</f>
        <v>0</v>
      </c>
      <c r="G180" s="4">
        <v>229</v>
      </c>
      <c r="H180" s="4">
        <f t="shared" si="8"/>
        <v>11227</v>
      </c>
      <c r="I180" s="4">
        <f t="shared" si="6"/>
        <v>11341.5</v>
      </c>
      <c r="J180" s="2" t="s">
        <v>199</v>
      </c>
    </row>
    <row r="181" spans="2:10">
      <c r="B181" s="3">
        <v>46201</v>
      </c>
      <c r="C181" s="2" t="s">
        <v>172</v>
      </c>
      <c r="D181" s="2" t="s">
        <v>16</v>
      </c>
      <c r="E181" s="4">
        <f t="shared" si="7"/>
        <v>11227</v>
      </c>
      <c r="F181" s="4">
        <f>IF(DAY(B181)=1,INDEX([1]Parametros!$C$7:$C$18,MONTH(B181)),0)</f>
        <v>0</v>
      </c>
      <c r="G181" s="4">
        <v>134</v>
      </c>
      <c r="H181" s="4">
        <f t="shared" si="8"/>
        <v>11093</v>
      </c>
      <c r="I181" s="4">
        <f t="shared" si="6"/>
        <v>11160</v>
      </c>
      <c r="J181" s="2" t="s">
        <v>200</v>
      </c>
    </row>
    <row r="182" spans="2:10">
      <c r="B182" s="3">
        <v>46202</v>
      </c>
      <c r="C182" s="2" t="s">
        <v>172</v>
      </c>
      <c r="D182" s="2" t="s">
        <v>18</v>
      </c>
      <c r="E182" s="4">
        <f t="shared" si="7"/>
        <v>11093</v>
      </c>
      <c r="F182" s="4">
        <f>IF(DAY(B182)=1,INDEX([1]Parametros!$C$7:$C$18,MONTH(B182)),0)</f>
        <v>0</v>
      </c>
      <c r="G182" s="4">
        <v>338</v>
      </c>
      <c r="H182" s="4">
        <f t="shared" si="8"/>
        <v>10755</v>
      </c>
      <c r="I182" s="4">
        <f t="shared" si="6"/>
        <v>10924</v>
      </c>
      <c r="J182" s="2" t="s">
        <v>201</v>
      </c>
    </row>
    <row r="183" spans="2:10">
      <c r="B183" s="3">
        <v>46203</v>
      </c>
      <c r="C183" s="2" t="s">
        <v>172</v>
      </c>
      <c r="D183" s="2" t="s">
        <v>20</v>
      </c>
      <c r="E183" s="4">
        <f t="shared" si="7"/>
        <v>10755</v>
      </c>
      <c r="F183" s="4">
        <f>IF(DAY(B183)=1,INDEX([1]Parametros!$C$7:$C$18,MONTH(B183)),0)</f>
        <v>0</v>
      </c>
      <c r="G183" s="4">
        <v>306</v>
      </c>
      <c r="H183" s="4">
        <f t="shared" si="8"/>
        <v>10449</v>
      </c>
      <c r="I183" s="4">
        <f t="shared" si="6"/>
        <v>10602</v>
      </c>
      <c r="J183" s="2" t="s">
        <v>202</v>
      </c>
    </row>
    <row r="184" spans="2:10">
      <c r="B184" s="3">
        <v>46204</v>
      </c>
      <c r="C184" s="2" t="s">
        <v>203</v>
      </c>
      <c r="D184" s="2" t="s">
        <v>22</v>
      </c>
      <c r="E184" s="4">
        <f t="shared" si="7"/>
        <v>10449</v>
      </c>
      <c r="F184" s="4">
        <f>IF(DAY(B184)=1,INDEX([1]Parametros!$C$7:$C$18,MONTH(B184)),0)</f>
        <v>9000</v>
      </c>
      <c r="G184" s="4">
        <v>270</v>
      </c>
      <c r="H184" s="4">
        <f t="shared" si="8"/>
        <v>19179</v>
      </c>
      <c r="I184" s="4">
        <f t="shared" si="6"/>
        <v>14814</v>
      </c>
      <c r="J184" s="2" t="s">
        <v>204</v>
      </c>
    </row>
    <row r="185" spans="2:10">
      <c r="B185" s="3">
        <v>46205</v>
      </c>
      <c r="C185" s="2" t="s">
        <v>203</v>
      </c>
      <c r="D185" s="2" t="s">
        <v>10</v>
      </c>
      <c r="E185" s="4">
        <f t="shared" si="7"/>
        <v>19179</v>
      </c>
      <c r="F185" s="4">
        <f>IF(DAY(B185)=1,INDEX([1]Parametros!$C$7:$C$18,MONTH(B185)),0)</f>
        <v>0</v>
      </c>
      <c r="G185" s="4">
        <v>313</v>
      </c>
      <c r="H185" s="4">
        <f t="shared" si="8"/>
        <v>18866</v>
      </c>
      <c r="I185" s="4">
        <f t="shared" si="6"/>
        <v>19022.5</v>
      </c>
      <c r="J185" s="2" t="s">
        <v>205</v>
      </c>
    </row>
    <row r="186" spans="2:10">
      <c r="B186" s="3">
        <v>46206</v>
      </c>
      <c r="C186" s="2" t="s">
        <v>203</v>
      </c>
      <c r="D186" s="2" t="s">
        <v>12</v>
      </c>
      <c r="E186" s="4">
        <f t="shared" si="7"/>
        <v>18866</v>
      </c>
      <c r="F186" s="4">
        <f>IF(DAY(B186)=1,INDEX([1]Parametros!$C$7:$C$18,MONTH(B186)),0)</f>
        <v>0</v>
      </c>
      <c r="G186" s="4">
        <v>335</v>
      </c>
      <c r="H186" s="4">
        <f t="shared" si="8"/>
        <v>18531</v>
      </c>
      <c r="I186" s="4">
        <f t="shared" si="6"/>
        <v>18698.5</v>
      </c>
      <c r="J186" s="2" t="s">
        <v>206</v>
      </c>
    </row>
    <row r="187" spans="2:10">
      <c r="B187" s="3">
        <v>46207</v>
      </c>
      <c r="C187" s="2" t="s">
        <v>203</v>
      </c>
      <c r="D187" s="2" t="s">
        <v>14</v>
      </c>
      <c r="E187" s="4">
        <f t="shared" si="7"/>
        <v>18531</v>
      </c>
      <c r="F187" s="4">
        <f>IF(DAY(B187)=1,INDEX([1]Parametros!$C$7:$C$18,MONTH(B187)),0)</f>
        <v>0</v>
      </c>
      <c r="G187" s="4">
        <v>195</v>
      </c>
      <c r="H187" s="4">
        <f t="shared" si="8"/>
        <v>18336</v>
      </c>
      <c r="I187" s="4">
        <f t="shared" si="6"/>
        <v>18433.5</v>
      </c>
      <c r="J187" s="2" t="s">
        <v>207</v>
      </c>
    </row>
    <row r="188" spans="2:10">
      <c r="B188" s="3">
        <v>46208</v>
      </c>
      <c r="C188" s="2" t="s">
        <v>203</v>
      </c>
      <c r="D188" s="2" t="s">
        <v>16</v>
      </c>
      <c r="E188" s="4">
        <f t="shared" si="7"/>
        <v>18336</v>
      </c>
      <c r="F188" s="4">
        <f>IF(DAY(B188)=1,INDEX([1]Parametros!$C$7:$C$18,MONTH(B188)),0)</f>
        <v>0</v>
      </c>
      <c r="G188" s="4">
        <v>180</v>
      </c>
      <c r="H188" s="4">
        <f t="shared" si="8"/>
        <v>18156</v>
      </c>
      <c r="I188" s="4">
        <f t="shared" si="6"/>
        <v>18246</v>
      </c>
      <c r="J188" s="2" t="s">
        <v>208</v>
      </c>
    </row>
    <row r="189" spans="2:10">
      <c r="B189" s="3">
        <v>46209</v>
      </c>
      <c r="C189" s="2" t="s">
        <v>203</v>
      </c>
      <c r="D189" s="2" t="s">
        <v>18</v>
      </c>
      <c r="E189" s="4">
        <f t="shared" si="7"/>
        <v>18156</v>
      </c>
      <c r="F189" s="4">
        <f>IF(DAY(B189)=1,INDEX([1]Parametros!$C$7:$C$18,MONTH(B189)),0)</f>
        <v>0</v>
      </c>
      <c r="G189" s="4">
        <v>344</v>
      </c>
      <c r="H189" s="4">
        <f t="shared" si="8"/>
        <v>17812</v>
      </c>
      <c r="I189" s="4">
        <f t="shared" si="6"/>
        <v>17984</v>
      </c>
      <c r="J189" s="2" t="s">
        <v>209</v>
      </c>
    </row>
    <row r="190" spans="2:10">
      <c r="B190" s="3">
        <v>46210</v>
      </c>
      <c r="C190" s="2" t="s">
        <v>203</v>
      </c>
      <c r="D190" s="2" t="s">
        <v>20</v>
      </c>
      <c r="E190" s="4">
        <f t="shared" si="7"/>
        <v>17812</v>
      </c>
      <c r="F190" s="4">
        <f>IF(DAY(B190)=1,INDEX([1]Parametros!$C$7:$C$18,MONTH(B190)),0)</f>
        <v>0</v>
      </c>
      <c r="G190" s="4">
        <v>302</v>
      </c>
      <c r="H190" s="4">
        <f t="shared" si="8"/>
        <v>17510</v>
      </c>
      <c r="I190" s="4">
        <f t="shared" si="6"/>
        <v>17661</v>
      </c>
      <c r="J190" s="2" t="s">
        <v>210</v>
      </c>
    </row>
    <row r="191" spans="2:10">
      <c r="B191" s="3">
        <v>46211</v>
      </c>
      <c r="C191" s="2" t="s">
        <v>203</v>
      </c>
      <c r="D191" s="2" t="s">
        <v>22</v>
      </c>
      <c r="E191" s="4">
        <f t="shared" si="7"/>
        <v>17510</v>
      </c>
      <c r="F191" s="4">
        <f>IF(DAY(B191)=1,INDEX([1]Parametros!$C$7:$C$18,MONTH(B191)),0)</f>
        <v>0</v>
      </c>
      <c r="G191" s="4">
        <v>323</v>
      </c>
      <c r="H191" s="4">
        <f t="shared" si="8"/>
        <v>17187</v>
      </c>
      <c r="I191" s="4">
        <f t="shared" si="6"/>
        <v>17348.5</v>
      </c>
      <c r="J191" s="2" t="s">
        <v>211</v>
      </c>
    </row>
    <row r="192" spans="2:10">
      <c r="B192" s="3">
        <v>46212</v>
      </c>
      <c r="C192" s="2" t="s">
        <v>203</v>
      </c>
      <c r="D192" s="2" t="s">
        <v>10</v>
      </c>
      <c r="E192" s="4">
        <f t="shared" si="7"/>
        <v>17187</v>
      </c>
      <c r="F192" s="4">
        <f>IF(DAY(B192)=1,INDEX([1]Parametros!$C$7:$C$18,MONTH(B192)),0)</f>
        <v>0</v>
      </c>
      <c r="G192" s="4">
        <v>328</v>
      </c>
      <c r="H192" s="4">
        <f t="shared" si="8"/>
        <v>16859</v>
      </c>
      <c r="I192" s="4">
        <f t="shared" si="6"/>
        <v>17023</v>
      </c>
      <c r="J192" s="2" t="s">
        <v>212</v>
      </c>
    </row>
    <row r="193" spans="2:10">
      <c r="B193" s="3">
        <v>46213</v>
      </c>
      <c r="C193" s="2" t="s">
        <v>203</v>
      </c>
      <c r="D193" s="2" t="s">
        <v>12</v>
      </c>
      <c r="E193" s="4">
        <f t="shared" si="7"/>
        <v>16859</v>
      </c>
      <c r="F193" s="4">
        <f>IF(DAY(B193)=1,INDEX([1]Parametros!$C$7:$C$18,MONTH(B193)),0)</f>
        <v>0</v>
      </c>
      <c r="G193" s="4">
        <v>316</v>
      </c>
      <c r="H193" s="4">
        <f t="shared" si="8"/>
        <v>16543</v>
      </c>
      <c r="I193" s="4">
        <f t="shared" si="6"/>
        <v>16701</v>
      </c>
      <c r="J193" s="2" t="s">
        <v>213</v>
      </c>
    </row>
    <row r="194" spans="2:10">
      <c r="B194" s="3">
        <v>46214</v>
      </c>
      <c r="C194" s="2" t="s">
        <v>203</v>
      </c>
      <c r="D194" s="2" t="s">
        <v>14</v>
      </c>
      <c r="E194" s="4">
        <f t="shared" si="7"/>
        <v>16543</v>
      </c>
      <c r="F194" s="4">
        <f>IF(DAY(B194)=1,INDEX([1]Parametros!$C$7:$C$18,MONTH(B194)),0)</f>
        <v>0</v>
      </c>
      <c r="G194" s="4">
        <v>227</v>
      </c>
      <c r="H194" s="4">
        <f t="shared" si="8"/>
        <v>16316</v>
      </c>
      <c r="I194" s="4">
        <f t="shared" si="6"/>
        <v>16429.5</v>
      </c>
      <c r="J194" s="2" t="s">
        <v>214</v>
      </c>
    </row>
    <row r="195" spans="2:10">
      <c r="B195" s="3">
        <v>46215</v>
      </c>
      <c r="C195" s="2" t="s">
        <v>203</v>
      </c>
      <c r="D195" s="2" t="s">
        <v>16</v>
      </c>
      <c r="E195" s="4">
        <f t="shared" si="7"/>
        <v>16316</v>
      </c>
      <c r="F195" s="4">
        <f>IF(DAY(B195)=1,INDEX([1]Parametros!$C$7:$C$18,MONTH(B195)),0)</f>
        <v>0</v>
      </c>
      <c r="G195" s="4">
        <v>165</v>
      </c>
      <c r="H195" s="4">
        <f t="shared" si="8"/>
        <v>16151</v>
      </c>
      <c r="I195" s="4">
        <f t="shared" ref="I195:I258" si="9">(E195+H195)/2</f>
        <v>16233.5</v>
      </c>
      <c r="J195" s="2" t="s">
        <v>215</v>
      </c>
    </row>
    <row r="196" spans="2:10">
      <c r="B196" s="3">
        <v>46216</v>
      </c>
      <c r="C196" s="2" t="s">
        <v>203</v>
      </c>
      <c r="D196" s="2" t="s">
        <v>18</v>
      </c>
      <c r="E196" s="4">
        <f t="shared" ref="E196:E259" si="10">H195</f>
        <v>16151</v>
      </c>
      <c r="F196" s="4">
        <f>IF(DAY(B196)=1,INDEX([1]Parametros!$C$7:$C$18,MONTH(B196)),0)</f>
        <v>0</v>
      </c>
      <c r="G196" s="4">
        <v>393</v>
      </c>
      <c r="H196" s="4">
        <f t="shared" ref="H196:H259" si="11">E196+F196-G196</f>
        <v>15758</v>
      </c>
      <c r="I196" s="4">
        <f t="shared" si="9"/>
        <v>15954.5</v>
      </c>
      <c r="J196" s="2" t="s">
        <v>216</v>
      </c>
    </row>
    <row r="197" spans="2:10">
      <c r="B197" s="3">
        <v>46217</v>
      </c>
      <c r="C197" s="2" t="s">
        <v>203</v>
      </c>
      <c r="D197" s="2" t="s">
        <v>20</v>
      </c>
      <c r="E197" s="4">
        <f t="shared" si="10"/>
        <v>15758</v>
      </c>
      <c r="F197" s="4">
        <f>IF(DAY(B197)=1,INDEX([1]Parametros!$C$7:$C$18,MONTH(B197)),0)</f>
        <v>0</v>
      </c>
      <c r="G197" s="4">
        <v>266</v>
      </c>
      <c r="H197" s="4">
        <f t="shared" si="11"/>
        <v>15492</v>
      </c>
      <c r="I197" s="4">
        <f t="shared" si="9"/>
        <v>15625</v>
      </c>
      <c r="J197" s="2" t="s">
        <v>217</v>
      </c>
    </row>
    <row r="198" spans="2:10">
      <c r="B198" s="3">
        <v>46218</v>
      </c>
      <c r="C198" s="2" t="s">
        <v>203</v>
      </c>
      <c r="D198" s="2" t="s">
        <v>22</v>
      </c>
      <c r="E198" s="4">
        <f t="shared" si="10"/>
        <v>15492</v>
      </c>
      <c r="F198" s="4">
        <f>IF(DAY(B198)=1,INDEX([1]Parametros!$C$7:$C$18,MONTH(B198)),0)</f>
        <v>0</v>
      </c>
      <c r="G198" s="4">
        <v>331</v>
      </c>
      <c r="H198" s="4">
        <f t="shared" si="11"/>
        <v>15161</v>
      </c>
      <c r="I198" s="4">
        <f t="shared" si="9"/>
        <v>15326.5</v>
      </c>
      <c r="J198" s="2" t="s">
        <v>218</v>
      </c>
    </row>
    <row r="199" spans="2:10">
      <c r="B199" s="3">
        <v>46219</v>
      </c>
      <c r="C199" s="2" t="s">
        <v>203</v>
      </c>
      <c r="D199" s="2" t="s">
        <v>10</v>
      </c>
      <c r="E199" s="4">
        <f t="shared" si="10"/>
        <v>15161</v>
      </c>
      <c r="F199" s="4">
        <f>IF(DAY(B199)=1,INDEX([1]Parametros!$C$7:$C$18,MONTH(B199)),0)</f>
        <v>0</v>
      </c>
      <c r="G199" s="4">
        <v>291</v>
      </c>
      <c r="H199" s="4">
        <f t="shared" si="11"/>
        <v>14870</v>
      </c>
      <c r="I199" s="4">
        <f t="shared" si="9"/>
        <v>15015.5</v>
      </c>
      <c r="J199" s="2" t="s">
        <v>219</v>
      </c>
    </row>
    <row r="200" spans="2:10">
      <c r="B200" s="3">
        <v>46220</v>
      </c>
      <c r="C200" s="2" t="s">
        <v>203</v>
      </c>
      <c r="D200" s="2" t="s">
        <v>12</v>
      </c>
      <c r="E200" s="4">
        <f t="shared" si="10"/>
        <v>14870</v>
      </c>
      <c r="F200" s="4">
        <f>IF(DAY(B200)=1,INDEX([1]Parametros!$C$7:$C$18,MONTH(B200)),0)</f>
        <v>0</v>
      </c>
      <c r="G200" s="4">
        <v>333</v>
      </c>
      <c r="H200" s="4">
        <f t="shared" si="11"/>
        <v>14537</v>
      </c>
      <c r="I200" s="4">
        <f t="shared" si="9"/>
        <v>14703.5</v>
      </c>
      <c r="J200" s="2" t="s">
        <v>220</v>
      </c>
    </row>
    <row r="201" spans="2:10">
      <c r="B201" s="3">
        <v>46221</v>
      </c>
      <c r="C201" s="2" t="s">
        <v>203</v>
      </c>
      <c r="D201" s="2" t="s">
        <v>14</v>
      </c>
      <c r="E201" s="4">
        <f t="shared" si="10"/>
        <v>14537</v>
      </c>
      <c r="F201" s="4">
        <f>IF(DAY(B201)=1,INDEX([1]Parametros!$C$7:$C$18,MONTH(B201)),0)</f>
        <v>0</v>
      </c>
      <c r="G201" s="4">
        <v>269</v>
      </c>
      <c r="H201" s="4">
        <f t="shared" si="11"/>
        <v>14268</v>
      </c>
      <c r="I201" s="4">
        <f t="shared" si="9"/>
        <v>14402.5</v>
      </c>
      <c r="J201" s="2" t="s">
        <v>221</v>
      </c>
    </row>
    <row r="202" spans="2:10">
      <c r="B202" s="3">
        <v>46222</v>
      </c>
      <c r="C202" s="2" t="s">
        <v>203</v>
      </c>
      <c r="D202" s="2" t="s">
        <v>16</v>
      </c>
      <c r="E202" s="4">
        <f t="shared" si="10"/>
        <v>14268</v>
      </c>
      <c r="F202" s="4">
        <f>IF(DAY(B202)=1,INDEX([1]Parametros!$C$7:$C$18,MONTH(B202)),0)</f>
        <v>0</v>
      </c>
      <c r="G202" s="4">
        <v>165</v>
      </c>
      <c r="H202" s="4">
        <f t="shared" si="11"/>
        <v>14103</v>
      </c>
      <c r="I202" s="4">
        <f t="shared" si="9"/>
        <v>14185.5</v>
      </c>
      <c r="J202" s="2" t="s">
        <v>222</v>
      </c>
    </row>
    <row r="203" spans="2:10">
      <c r="B203" s="3">
        <v>46223</v>
      </c>
      <c r="C203" s="2" t="s">
        <v>203</v>
      </c>
      <c r="D203" s="2" t="s">
        <v>18</v>
      </c>
      <c r="E203" s="4">
        <f t="shared" si="10"/>
        <v>14103</v>
      </c>
      <c r="F203" s="4">
        <f>IF(DAY(B203)=1,INDEX([1]Parametros!$C$7:$C$18,MONTH(B203)),0)</f>
        <v>0</v>
      </c>
      <c r="G203" s="4">
        <v>393</v>
      </c>
      <c r="H203" s="4">
        <f t="shared" si="11"/>
        <v>13710</v>
      </c>
      <c r="I203" s="4">
        <f t="shared" si="9"/>
        <v>13906.5</v>
      </c>
      <c r="J203" s="2" t="s">
        <v>223</v>
      </c>
    </row>
    <row r="204" spans="2:10">
      <c r="B204" s="3">
        <v>46224</v>
      </c>
      <c r="C204" s="2" t="s">
        <v>203</v>
      </c>
      <c r="D204" s="2" t="s">
        <v>20</v>
      </c>
      <c r="E204" s="4">
        <f t="shared" si="10"/>
        <v>13710</v>
      </c>
      <c r="F204" s="4">
        <f>IF(DAY(B204)=1,INDEX([1]Parametros!$C$7:$C$18,MONTH(B204)),0)</f>
        <v>0</v>
      </c>
      <c r="G204" s="4">
        <v>306</v>
      </c>
      <c r="H204" s="4">
        <f t="shared" si="11"/>
        <v>13404</v>
      </c>
      <c r="I204" s="4">
        <f t="shared" si="9"/>
        <v>13557</v>
      </c>
      <c r="J204" s="2" t="s">
        <v>224</v>
      </c>
    </row>
    <row r="205" spans="2:10">
      <c r="B205" s="3">
        <v>46225</v>
      </c>
      <c r="C205" s="2" t="s">
        <v>203</v>
      </c>
      <c r="D205" s="2" t="s">
        <v>22</v>
      </c>
      <c r="E205" s="4">
        <f t="shared" si="10"/>
        <v>13404</v>
      </c>
      <c r="F205" s="4">
        <f>IF(DAY(B205)=1,INDEX([1]Parametros!$C$7:$C$18,MONTH(B205)),0)</f>
        <v>0</v>
      </c>
      <c r="G205" s="4">
        <v>322</v>
      </c>
      <c r="H205" s="4">
        <f t="shared" si="11"/>
        <v>13082</v>
      </c>
      <c r="I205" s="4">
        <f t="shared" si="9"/>
        <v>13243</v>
      </c>
      <c r="J205" s="2" t="s">
        <v>225</v>
      </c>
    </row>
    <row r="206" spans="2:10">
      <c r="B206" s="3">
        <v>46226</v>
      </c>
      <c r="C206" s="2" t="s">
        <v>203</v>
      </c>
      <c r="D206" s="2" t="s">
        <v>10</v>
      </c>
      <c r="E206" s="4">
        <f t="shared" si="10"/>
        <v>13082</v>
      </c>
      <c r="F206" s="4">
        <f>IF(DAY(B206)=1,INDEX([1]Parametros!$C$7:$C$18,MONTH(B206)),0)</f>
        <v>0</v>
      </c>
      <c r="G206" s="4">
        <v>286</v>
      </c>
      <c r="H206" s="4">
        <f t="shared" si="11"/>
        <v>12796</v>
      </c>
      <c r="I206" s="4">
        <f t="shared" si="9"/>
        <v>12939</v>
      </c>
      <c r="J206" s="2" t="s">
        <v>226</v>
      </c>
    </row>
    <row r="207" spans="2:10">
      <c r="B207" s="3">
        <v>46227</v>
      </c>
      <c r="C207" s="2" t="s">
        <v>203</v>
      </c>
      <c r="D207" s="2" t="s">
        <v>12</v>
      </c>
      <c r="E207" s="4">
        <f t="shared" si="10"/>
        <v>12796</v>
      </c>
      <c r="F207" s="4">
        <f>IF(DAY(B207)=1,INDEX([1]Parametros!$C$7:$C$18,MONTH(B207)),0)</f>
        <v>0</v>
      </c>
      <c r="G207" s="4">
        <v>317</v>
      </c>
      <c r="H207" s="4">
        <f t="shared" si="11"/>
        <v>12479</v>
      </c>
      <c r="I207" s="4">
        <f t="shared" si="9"/>
        <v>12637.5</v>
      </c>
      <c r="J207" s="2" t="s">
        <v>227</v>
      </c>
    </row>
    <row r="208" spans="2:10">
      <c r="B208" s="3">
        <v>46228</v>
      </c>
      <c r="C208" s="2" t="s">
        <v>203</v>
      </c>
      <c r="D208" s="2" t="s">
        <v>14</v>
      </c>
      <c r="E208" s="4">
        <f t="shared" si="10"/>
        <v>12479</v>
      </c>
      <c r="F208" s="4">
        <f>IF(DAY(B208)=1,INDEX([1]Parametros!$C$7:$C$18,MONTH(B208)),0)</f>
        <v>0</v>
      </c>
      <c r="G208" s="4">
        <v>218</v>
      </c>
      <c r="H208" s="4">
        <f t="shared" si="11"/>
        <v>12261</v>
      </c>
      <c r="I208" s="4">
        <f t="shared" si="9"/>
        <v>12370</v>
      </c>
      <c r="J208" s="2" t="s">
        <v>228</v>
      </c>
    </row>
    <row r="209" spans="2:10">
      <c r="B209" s="3">
        <v>46229</v>
      </c>
      <c r="C209" s="2" t="s">
        <v>203</v>
      </c>
      <c r="D209" s="2" t="s">
        <v>16</v>
      </c>
      <c r="E209" s="4">
        <f t="shared" si="10"/>
        <v>12261</v>
      </c>
      <c r="F209" s="4">
        <f>IF(DAY(B209)=1,INDEX([1]Parametros!$C$7:$C$18,MONTH(B209)),0)</f>
        <v>0</v>
      </c>
      <c r="G209" s="4">
        <v>157</v>
      </c>
      <c r="H209" s="4">
        <f t="shared" si="11"/>
        <v>12104</v>
      </c>
      <c r="I209" s="4">
        <f t="shared" si="9"/>
        <v>12182.5</v>
      </c>
      <c r="J209" s="2" t="s">
        <v>229</v>
      </c>
    </row>
    <row r="210" spans="2:10">
      <c r="B210" s="3">
        <v>46230</v>
      </c>
      <c r="C210" s="2" t="s">
        <v>203</v>
      </c>
      <c r="D210" s="2" t="s">
        <v>18</v>
      </c>
      <c r="E210" s="4">
        <f t="shared" si="10"/>
        <v>12104</v>
      </c>
      <c r="F210" s="4">
        <f>IF(DAY(B210)=1,INDEX([1]Parametros!$C$7:$C$18,MONTH(B210)),0)</f>
        <v>0</v>
      </c>
      <c r="G210" s="4">
        <v>336</v>
      </c>
      <c r="H210" s="4">
        <f t="shared" si="11"/>
        <v>11768</v>
      </c>
      <c r="I210" s="4">
        <f t="shared" si="9"/>
        <v>11936</v>
      </c>
      <c r="J210" s="2" t="s">
        <v>230</v>
      </c>
    </row>
    <row r="211" spans="2:10">
      <c r="B211" s="3">
        <v>46231</v>
      </c>
      <c r="C211" s="2" t="s">
        <v>203</v>
      </c>
      <c r="D211" s="2" t="s">
        <v>20</v>
      </c>
      <c r="E211" s="4">
        <f t="shared" si="10"/>
        <v>11768</v>
      </c>
      <c r="F211" s="4">
        <f>IF(DAY(B211)=1,INDEX([1]Parametros!$C$7:$C$18,MONTH(B211)),0)</f>
        <v>0</v>
      </c>
      <c r="G211" s="4">
        <v>259</v>
      </c>
      <c r="H211" s="4">
        <f t="shared" si="11"/>
        <v>11509</v>
      </c>
      <c r="I211" s="4">
        <f t="shared" si="9"/>
        <v>11638.5</v>
      </c>
      <c r="J211" s="2" t="s">
        <v>231</v>
      </c>
    </row>
    <row r="212" spans="2:10">
      <c r="B212" s="3">
        <v>46232</v>
      </c>
      <c r="C212" s="2" t="s">
        <v>203</v>
      </c>
      <c r="D212" s="2" t="s">
        <v>22</v>
      </c>
      <c r="E212" s="4">
        <f t="shared" si="10"/>
        <v>11509</v>
      </c>
      <c r="F212" s="4">
        <f>IF(DAY(B212)=1,INDEX([1]Parametros!$C$7:$C$18,MONTH(B212)),0)</f>
        <v>0</v>
      </c>
      <c r="G212" s="4">
        <v>368</v>
      </c>
      <c r="H212" s="4">
        <f t="shared" si="11"/>
        <v>11141</v>
      </c>
      <c r="I212" s="4">
        <f t="shared" si="9"/>
        <v>11325</v>
      </c>
      <c r="J212" s="2" t="s">
        <v>232</v>
      </c>
    </row>
    <row r="213" spans="2:10">
      <c r="B213" s="3">
        <v>46233</v>
      </c>
      <c r="C213" s="2" t="s">
        <v>203</v>
      </c>
      <c r="D213" s="2" t="s">
        <v>10</v>
      </c>
      <c r="E213" s="4">
        <f t="shared" si="10"/>
        <v>11141</v>
      </c>
      <c r="F213" s="4">
        <f>IF(DAY(B213)=1,INDEX([1]Parametros!$C$7:$C$18,MONTH(B213)),0)</f>
        <v>0</v>
      </c>
      <c r="G213" s="4">
        <v>295</v>
      </c>
      <c r="H213" s="4">
        <f t="shared" si="11"/>
        <v>10846</v>
      </c>
      <c r="I213" s="4">
        <f t="shared" si="9"/>
        <v>10993.5</v>
      </c>
      <c r="J213" s="2" t="s">
        <v>233</v>
      </c>
    </row>
    <row r="214" spans="2:10">
      <c r="B214" s="3">
        <v>46234</v>
      </c>
      <c r="C214" s="2" t="s">
        <v>203</v>
      </c>
      <c r="D214" s="2" t="s">
        <v>12</v>
      </c>
      <c r="E214" s="4">
        <f t="shared" si="10"/>
        <v>10846</v>
      </c>
      <c r="F214" s="4">
        <f>IF(DAY(B214)=1,INDEX([1]Parametros!$C$7:$C$18,MONTH(B214)),0)</f>
        <v>0</v>
      </c>
      <c r="G214" s="4">
        <v>385</v>
      </c>
      <c r="H214" s="4">
        <f t="shared" si="11"/>
        <v>10461</v>
      </c>
      <c r="I214" s="4">
        <f t="shared" si="9"/>
        <v>10653.5</v>
      </c>
      <c r="J214" s="2" t="s">
        <v>234</v>
      </c>
    </row>
    <row r="215" spans="2:10">
      <c r="B215" s="3">
        <v>46235</v>
      </c>
      <c r="C215" s="2" t="s">
        <v>235</v>
      </c>
      <c r="D215" s="2" t="s">
        <v>14</v>
      </c>
      <c r="E215" s="4">
        <f t="shared" si="10"/>
        <v>10461</v>
      </c>
      <c r="F215" s="4">
        <f>IF(DAY(B215)=1,INDEX([1]Parametros!$C$7:$C$18,MONTH(B215)),0)</f>
        <v>8700</v>
      </c>
      <c r="G215" s="4">
        <v>194</v>
      </c>
      <c r="H215" s="4">
        <f t="shared" si="11"/>
        <v>18967</v>
      </c>
      <c r="I215" s="4">
        <f t="shared" si="9"/>
        <v>14714</v>
      </c>
      <c r="J215" s="2" t="s">
        <v>236</v>
      </c>
    </row>
    <row r="216" spans="2:10">
      <c r="B216" s="3">
        <v>46236</v>
      </c>
      <c r="C216" s="2" t="s">
        <v>235</v>
      </c>
      <c r="D216" s="2" t="s">
        <v>16</v>
      </c>
      <c r="E216" s="4">
        <f t="shared" si="10"/>
        <v>18967</v>
      </c>
      <c r="F216" s="4">
        <f>IF(DAY(B216)=1,INDEX([1]Parametros!$C$7:$C$18,MONTH(B216)),0)</f>
        <v>0</v>
      </c>
      <c r="G216" s="4">
        <v>178</v>
      </c>
      <c r="H216" s="4">
        <f t="shared" si="11"/>
        <v>18789</v>
      </c>
      <c r="I216" s="4">
        <f t="shared" si="9"/>
        <v>18878</v>
      </c>
      <c r="J216" s="2" t="s">
        <v>237</v>
      </c>
    </row>
    <row r="217" spans="2:10">
      <c r="B217" s="3">
        <v>46237</v>
      </c>
      <c r="C217" s="2" t="s">
        <v>235</v>
      </c>
      <c r="D217" s="2" t="s">
        <v>18</v>
      </c>
      <c r="E217" s="4">
        <f t="shared" si="10"/>
        <v>18789</v>
      </c>
      <c r="F217" s="4">
        <f>IF(DAY(B217)=1,INDEX([1]Parametros!$C$7:$C$18,MONTH(B217)),0)</f>
        <v>0</v>
      </c>
      <c r="G217" s="4">
        <v>429</v>
      </c>
      <c r="H217" s="4">
        <f t="shared" si="11"/>
        <v>18360</v>
      </c>
      <c r="I217" s="4">
        <f t="shared" si="9"/>
        <v>18574.5</v>
      </c>
      <c r="J217" s="2" t="s">
        <v>238</v>
      </c>
    </row>
    <row r="218" spans="2:10">
      <c r="B218" s="3">
        <v>46238</v>
      </c>
      <c r="C218" s="2" t="s">
        <v>235</v>
      </c>
      <c r="D218" s="2" t="s">
        <v>20</v>
      </c>
      <c r="E218" s="4">
        <f t="shared" si="10"/>
        <v>18360</v>
      </c>
      <c r="F218" s="4">
        <f>IF(DAY(B218)=1,INDEX([1]Parametros!$C$7:$C$18,MONTH(B218)),0)</f>
        <v>0</v>
      </c>
      <c r="G218" s="4">
        <v>303</v>
      </c>
      <c r="H218" s="4">
        <f t="shared" si="11"/>
        <v>18057</v>
      </c>
      <c r="I218" s="4">
        <f t="shared" si="9"/>
        <v>18208.5</v>
      </c>
      <c r="J218" s="2" t="s">
        <v>239</v>
      </c>
    </row>
    <row r="219" spans="2:10">
      <c r="B219" s="3">
        <v>46239</v>
      </c>
      <c r="C219" s="2" t="s">
        <v>235</v>
      </c>
      <c r="D219" s="2" t="s">
        <v>22</v>
      </c>
      <c r="E219" s="4">
        <f t="shared" si="10"/>
        <v>18057</v>
      </c>
      <c r="F219" s="4">
        <f>IF(DAY(B219)=1,INDEX([1]Parametros!$C$7:$C$18,MONTH(B219)),0)</f>
        <v>0</v>
      </c>
      <c r="G219" s="4">
        <v>279</v>
      </c>
      <c r="H219" s="4">
        <f t="shared" si="11"/>
        <v>17778</v>
      </c>
      <c r="I219" s="4">
        <f t="shared" si="9"/>
        <v>17917.5</v>
      </c>
      <c r="J219" s="2" t="s">
        <v>240</v>
      </c>
    </row>
    <row r="220" spans="2:10">
      <c r="B220" s="3">
        <v>46240</v>
      </c>
      <c r="C220" s="2" t="s">
        <v>235</v>
      </c>
      <c r="D220" s="2" t="s">
        <v>10</v>
      </c>
      <c r="E220" s="4">
        <f t="shared" si="10"/>
        <v>17778</v>
      </c>
      <c r="F220" s="4">
        <f>IF(DAY(B220)=1,INDEX([1]Parametros!$C$7:$C$18,MONTH(B220)),0)</f>
        <v>0</v>
      </c>
      <c r="G220" s="4">
        <v>294</v>
      </c>
      <c r="H220" s="4">
        <f t="shared" si="11"/>
        <v>17484</v>
      </c>
      <c r="I220" s="4">
        <f t="shared" si="9"/>
        <v>17631</v>
      </c>
      <c r="J220" s="2" t="s">
        <v>241</v>
      </c>
    </row>
    <row r="221" spans="2:10">
      <c r="B221" s="3">
        <v>46241</v>
      </c>
      <c r="C221" s="2" t="s">
        <v>235</v>
      </c>
      <c r="D221" s="2" t="s">
        <v>12</v>
      </c>
      <c r="E221" s="4">
        <f t="shared" si="10"/>
        <v>17484</v>
      </c>
      <c r="F221" s="4">
        <f>IF(DAY(B221)=1,INDEX([1]Parametros!$C$7:$C$18,MONTH(B221)),0)</f>
        <v>0</v>
      </c>
      <c r="G221" s="4">
        <v>359</v>
      </c>
      <c r="H221" s="4">
        <f t="shared" si="11"/>
        <v>17125</v>
      </c>
      <c r="I221" s="4">
        <f t="shared" si="9"/>
        <v>17304.5</v>
      </c>
      <c r="J221" s="2" t="s">
        <v>242</v>
      </c>
    </row>
    <row r="222" spans="2:10">
      <c r="B222" s="3">
        <v>46242</v>
      </c>
      <c r="C222" s="2" t="s">
        <v>235</v>
      </c>
      <c r="D222" s="2" t="s">
        <v>14</v>
      </c>
      <c r="E222" s="4">
        <f t="shared" si="10"/>
        <v>17125</v>
      </c>
      <c r="F222" s="4">
        <f>IF(DAY(B222)=1,INDEX([1]Parametros!$C$7:$C$18,MONTH(B222)),0)</f>
        <v>0</v>
      </c>
      <c r="G222" s="4">
        <v>242</v>
      </c>
      <c r="H222" s="4">
        <f t="shared" si="11"/>
        <v>16883</v>
      </c>
      <c r="I222" s="4">
        <f t="shared" si="9"/>
        <v>17004</v>
      </c>
      <c r="J222" s="2" t="s">
        <v>243</v>
      </c>
    </row>
    <row r="223" spans="2:10">
      <c r="B223" s="3">
        <v>46243</v>
      </c>
      <c r="C223" s="2" t="s">
        <v>235</v>
      </c>
      <c r="D223" s="2" t="s">
        <v>16</v>
      </c>
      <c r="E223" s="4">
        <f t="shared" si="10"/>
        <v>16883</v>
      </c>
      <c r="F223" s="4">
        <f>IF(DAY(B223)=1,INDEX([1]Parametros!$C$7:$C$18,MONTH(B223)),0)</f>
        <v>0</v>
      </c>
      <c r="G223" s="4">
        <v>206</v>
      </c>
      <c r="H223" s="4">
        <f t="shared" si="11"/>
        <v>16677</v>
      </c>
      <c r="I223" s="4">
        <f t="shared" si="9"/>
        <v>16780</v>
      </c>
      <c r="J223" s="2" t="s">
        <v>244</v>
      </c>
    </row>
    <row r="224" spans="2:10">
      <c r="B224" s="3">
        <v>46244</v>
      </c>
      <c r="C224" s="2" t="s">
        <v>235</v>
      </c>
      <c r="D224" s="2" t="s">
        <v>18</v>
      </c>
      <c r="E224" s="4">
        <f t="shared" si="10"/>
        <v>16677</v>
      </c>
      <c r="F224" s="4">
        <f>IF(DAY(B224)=1,INDEX([1]Parametros!$C$7:$C$18,MONTH(B224)),0)</f>
        <v>0</v>
      </c>
      <c r="G224" s="4">
        <v>333</v>
      </c>
      <c r="H224" s="4">
        <f t="shared" si="11"/>
        <v>16344</v>
      </c>
      <c r="I224" s="4">
        <f t="shared" si="9"/>
        <v>16510.5</v>
      </c>
      <c r="J224" s="2" t="s">
        <v>245</v>
      </c>
    </row>
    <row r="225" spans="2:10">
      <c r="B225" s="3">
        <v>46245</v>
      </c>
      <c r="C225" s="2" t="s">
        <v>235</v>
      </c>
      <c r="D225" s="2" t="s">
        <v>20</v>
      </c>
      <c r="E225" s="4">
        <f t="shared" si="10"/>
        <v>16344</v>
      </c>
      <c r="F225" s="4">
        <f>IF(DAY(B225)=1,INDEX([1]Parametros!$C$7:$C$18,MONTH(B225)),0)</f>
        <v>0</v>
      </c>
      <c r="G225" s="4">
        <v>283</v>
      </c>
      <c r="H225" s="4">
        <f t="shared" si="11"/>
        <v>16061</v>
      </c>
      <c r="I225" s="4">
        <f t="shared" si="9"/>
        <v>16202.5</v>
      </c>
      <c r="J225" s="2" t="s">
        <v>246</v>
      </c>
    </row>
    <row r="226" spans="2:10">
      <c r="B226" s="3">
        <v>46246</v>
      </c>
      <c r="C226" s="2" t="s">
        <v>235</v>
      </c>
      <c r="D226" s="2" t="s">
        <v>22</v>
      </c>
      <c r="E226" s="4">
        <f t="shared" si="10"/>
        <v>16061</v>
      </c>
      <c r="F226" s="4">
        <f>IF(DAY(B226)=1,INDEX([1]Parametros!$C$7:$C$18,MONTH(B226)),0)</f>
        <v>0</v>
      </c>
      <c r="G226" s="4">
        <v>309</v>
      </c>
      <c r="H226" s="4">
        <f t="shared" si="11"/>
        <v>15752</v>
      </c>
      <c r="I226" s="4">
        <f t="shared" si="9"/>
        <v>15906.5</v>
      </c>
      <c r="J226" s="2" t="s">
        <v>247</v>
      </c>
    </row>
    <row r="227" spans="2:10">
      <c r="B227" s="3">
        <v>46247</v>
      </c>
      <c r="C227" s="2" t="s">
        <v>235</v>
      </c>
      <c r="D227" s="2" t="s">
        <v>10</v>
      </c>
      <c r="E227" s="4">
        <f t="shared" si="10"/>
        <v>15752</v>
      </c>
      <c r="F227" s="4">
        <f>IF(DAY(B227)=1,INDEX([1]Parametros!$C$7:$C$18,MONTH(B227)),0)</f>
        <v>0</v>
      </c>
      <c r="G227" s="4">
        <v>344</v>
      </c>
      <c r="H227" s="4">
        <f t="shared" si="11"/>
        <v>15408</v>
      </c>
      <c r="I227" s="4">
        <f t="shared" si="9"/>
        <v>15580</v>
      </c>
      <c r="J227" s="2" t="s">
        <v>248</v>
      </c>
    </row>
    <row r="228" spans="2:10">
      <c r="B228" s="3">
        <v>46248</v>
      </c>
      <c r="C228" s="2" t="s">
        <v>235</v>
      </c>
      <c r="D228" s="2" t="s">
        <v>12</v>
      </c>
      <c r="E228" s="4">
        <f t="shared" si="10"/>
        <v>15408</v>
      </c>
      <c r="F228" s="4">
        <f>IF(DAY(B228)=1,INDEX([1]Parametros!$C$7:$C$18,MONTH(B228)),0)</f>
        <v>0</v>
      </c>
      <c r="G228" s="4">
        <v>359</v>
      </c>
      <c r="H228" s="4">
        <f t="shared" si="11"/>
        <v>15049</v>
      </c>
      <c r="I228" s="4">
        <f t="shared" si="9"/>
        <v>15228.5</v>
      </c>
      <c r="J228" s="2" t="s">
        <v>249</v>
      </c>
    </row>
    <row r="229" spans="2:10">
      <c r="B229" s="3">
        <v>46249</v>
      </c>
      <c r="C229" s="2" t="s">
        <v>235</v>
      </c>
      <c r="D229" s="2" t="s">
        <v>14</v>
      </c>
      <c r="E229" s="4">
        <f t="shared" si="10"/>
        <v>15049</v>
      </c>
      <c r="F229" s="4">
        <f>IF(DAY(B229)=1,INDEX([1]Parametros!$C$7:$C$18,MONTH(B229)),0)</f>
        <v>0</v>
      </c>
      <c r="G229" s="4">
        <v>168</v>
      </c>
      <c r="H229" s="4">
        <f t="shared" si="11"/>
        <v>14881</v>
      </c>
      <c r="I229" s="4">
        <f t="shared" si="9"/>
        <v>14965</v>
      </c>
      <c r="J229" s="2" t="s">
        <v>250</v>
      </c>
    </row>
    <row r="230" spans="2:10">
      <c r="B230" s="3">
        <v>46250</v>
      </c>
      <c r="C230" s="2" t="s">
        <v>235</v>
      </c>
      <c r="D230" s="2" t="s">
        <v>16</v>
      </c>
      <c r="E230" s="4">
        <f t="shared" si="10"/>
        <v>14881</v>
      </c>
      <c r="F230" s="4">
        <f>IF(DAY(B230)=1,INDEX([1]Parametros!$C$7:$C$18,MONTH(B230)),0)</f>
        <v>0</v>
      </c>
      <c r="G230" s="4">
        <v>169</v>
      </c>
      <c r="H230" s="4">
        <f t="shared" si="11"/>
        <v>14712</v>
      </c>
      <c r="I230" s="4">
        <f t="shared" si="9"/>
        <v>14796.5</v>
      </c>
      <c r="J230" s="2" t="s">
        <v>251</v>
      </c>
    </row>
    <row r="231" spans="2:10">
      <c r="B231" s="3">
        <v>46251</v>
      </c>
      <c r="C231" s="2" t="s">
        <v>235</v>
      </c>
      <c r="D231" s="2" t="s">
        <v>18</v>
      </c>
      <c r="E231" s="4">
        <f t="shared" si="10"/>
        <v>14712</v>
      </c>
      <c r="F231" s="4">
        <f>IF(DAY(B231)=1,INDEX([1]Parametros!$C$7:$C$18,MONTH(B231)),0)</f>
        <v>0</v>
      </c>
      <c r="G231" s="4">
        <v>379</v>
      </c>
      <c r="H231" s="4">
        <f t="shared" si="11"/>
        <v>14333</v>
      </c>
      <c r="I231" s="4">
        <f t="shared" si="9"/>
        <v>14522.5</v>
      </c>
      <c r="J231" s="2" t="s">
        <v>252</v>
      </c>
    </row>
    <row r="232" spans="2:10">
      <c r="B232" s="3">
        <v>46252</v>
      </c>
      <c r="C232" s="2" t="s">
        <v>235</v>
      </c>
      <c r="D232" s="2" t="s">
        <v>20</v>
      </c>
      <c r="E232" s="4">
        <f t="shared" si="10"/>
        <v>14333</v>
      </c>
      <c r="F232" s="4">
        <f>IF(DAY(B232)=1,INDEX([1]Parametros!$C$7:$C$18,MONTH(B232)),0)</f>
        <v>0</v>
      </c>
      <c r="G232" s="4">
        <v>387</v>
      </c>
      <c r="H232" s="4">
        <f t="shared" si="11"/>
        <v>13946</v>
      </c>
      <c r="I232" s="4">
        <f t="shared" si="9"/>
        <v>14139.5</v>
      </c>
      <c r="J232" s="2" t="s">
        <v>253</v>
      </c>
    </row>
    <row r="233" spans="2:10">
      <c r="B233" s="3">
        <v>46253</v>
      </c>
      <c r="C233" s="2" t="s">
        <v>235</v>
      </c>
      <c r="D233" s="2" t="s">
        <v>22</v>
      </c>
      <c r="E233" s="4">
        <f t="shared" si="10"/>
        <v>13946</v>
      </c>
      <c r="F233" s="4">
        <f>IF(DAY(B233)=1,INDEX([1]Parametros!$C$7:$C$18,MONTH(B233)),0)</f>
        <v>0</v>
      </c>
      <c r="G233" s="4">
        <v>337</v>
      </c>
      <c r="H233" s="4">
        <f t="shared" si="11"/>
        <v>13609</v>
      </c>
      <c r="I233" s="4">
        <f t="shared" si="9"/>
        <v>13777.5</v>
      </c>
      <c r="J233" s="2" t="s">
        <v>254</v>
      </c>
    </row>
    <row r="234" spans="2:10">
      <c r="B234" s="3">
        <v>46254</v>
      </c>
      <c r="C234" s="2" t="s">
        <v>235</v>
      </c>
      <c r="D234" s="2" t="s">
        <v>10</v>
      </c>
      <c r="E234" s="4">
        <f t="shared" si="10"/>
        <v>13609</v>
      </c>
      <c r="F234" s="4">
        <f>IF(DAY(B234)=1,INDEX([1]Parametros!$C$7:$C$18,MONTH(B234)),0)</f>
        <v>0</v>
      </c>
      <c r="G234" s="4">
        <v>318</v>
      </c>
      <c r="H234" s="4">
        <f t="shared" si="11"/>
        <v>13291</v>
      </c>
      <c r="I234" s="4">
        <f t="shared" si="9"/>
        <v>13450</v>
      </c>
      <c r="J234" s="2" t="s">
        <v>255</v>
      </c>
    </row>
    <row r="235" spans="2:10">
      <c r="B235" s="3">
        <v>46255</v>
      </c>
      <c r="C235" s="2" t="s">
        <v>235</v>
      </c>
      <c r="D235" s="2" t="s">
        <v>12</v>
      </c>
      <c r="E235" s="4">
        <f t="shared" si="10"/>
        <v>13291</v>
      </c>
      <c r="F235" s="4">
        <f>IF(DAY(B235)=1,INDEX([1]Parametros!$C$7:$C$18,MONTH(B235)),0)</f>
        <v>0</v>
      </c>
      <c r="G235" s="4">
        <v>311</v>
      </c>
      <c r="H235" s="4">
        <f t="shared" si="11"/>
        <v>12980</v>
      </c>
      <c r="I235" s="4">
        <f t="shared" si="9"/>
        <v>13135.5</v>
      </c>
      <c r="J235" s="2" t="s">
        <v>256</v>
      </c>
    </row>
    <row r="236" spans="2:10">
      <c r="B236" s="3">
        <v>46256</v>
      </c>
      <c r="C236" s="2" t="s">
        <v>235</v>
      </c>
      <c r="D236" s="2" t="s">
        <v>14</v>
      </c>
      <c r="E236" s="4">
        <f t="shared" si="10"/>
        <v>12980</v>
      </c>
      <c r="F236" s="4">
        <f>IF(DAY(B236)=1,INDEX([1]Parametros!$C$7:$C$18,MONTH(B236)),0)</f>
        <v>0</v>
      </c>
      <c r="G236" s="4">
        <v>199</v>
      </c>
      <c r="H236" s="4">
        <f t="shared" si="11"/>
        <v>12781</v>
      </c>
      <c r="I236" s="4">
        <f t="shared" si="9"/>
        <v>12880.5</v>
      </c>
      <c r="J236" s="2" t="s">
        <v>257</v>
      </c>
    </row>
    <row r="237" spans="2:10">
      <c r="B237" s="3">
        <v>46257</v>
      </c>
      <c r="C237" s="2" t="s">
        <v>235</v>
      </c>
      <c r="D237" s="2" t="s">
        <v>16</v>
      </c>
      <c r="E237" s="4">
        <f t="shared" si="10"/>
        <v>12781</v>
      </c>
      <c r="F237" s="4">
        <f>IF(DAY(B237)=1,INDEX([1]Parametros!$C$7:$C$18,MONTH(B237)),0)</f>
        <v>0</v>
      </c>
      <c r="G237" s="4">
        <v>171</v>
      </c>
      <c r="H237" s="4">
        <f t="shared" si="11"/>
        <v>12610</v>
      </c>
      <c r="I237" s="4">
        <f t="shared" si="9"/>
        <v>12695.5</v>
      </c>
      <c r="J237" s="2" t="s">
        <v>258</v>
      </c>
    </row>
    <row r="238" spans="2:10">
      <c r="B238" s="3">
        <v>46258</v>
      </c>
      <c r="C238" s="2" t="s">
        <v>235</v>
      </c>
      <c r="D238" s="2" t="s">
        <v>18</v>
      </c>
      <c r="E238" s="4">
        <f t="shared" si="10"/>
        <v>12610</v>
      </c>
      <c r="F238" s="4">
        <f>IF(DAY(B238)=1,INDEX([1]Parametros!$C$7:$C$18,MONTH(B238)),0)</f>
        <v>0</v>
      </c>
      <c r="G238" s="4">
        <v>354</v>
      </c>
      <c r="H238" s="4">
        <f t="shared" si="11"/>
        <v>12256</v>
      </c>
      <c r="I238" s="4">
        <f t="shared" si="9"/>
        <v>12433</v>
      </c>
      <c r="J238" s="2" t="s">
        <v>259</v>
      </c>
    </row>
    <row r="239" spans="2:10">
      <c r="B239" s="3">
        <v>46259</v>
      </c>
      <c r="C239" s="2" t="s">
        <v>235</v>
      </c>
      <c r="D239" s="2" t="s">
        <v>20</v>
      </c>
      <c r="E239" s="4">
        <f t="shared" si="10"/>
        <v>12256</v>
      </c>
      <c r="F239" s="4">
        <f>IF(DAY(B239)=1,INDEX([1]Parametros!$C$7:$C$18,MONTH(B239)),0)</f>
        <v>0</v>
      </c>
      <c r="G239" s="4">
        <v>344</v>
      </c>
      <c r="H239" s="4">
        <f t="shared" si="11"/>
        <v>11912</v>
      </c>
      <c r="I239" s="4">
        <f t="shared" si="9"/>
        <v>12084</v>
      </c>
      <c r="J239" s="2" t="s">
        <v>260</v>
      </c>
    </row>
    <row r="240" spans="2:10">
      <c r="B240" s="3">
        <v>46260</v>
      </c>
      <c r="C240" s="2" t="s">
        <v>235</v>
      </c>
      <c r="D240" s="2" t="s">
        <v>22</v>
      </c>
      <c r="E240" s="4">
        <f t="shared" si="10"/>
        <v>11912</v>
      </c>
      <c r="F240" s="4">
        <f>IF(DAY(B240)=1,INDEX([1]Parametros!$C$7:$C$18,MONTH(B240)),0)</f>
        <v>0</v>
      </c>
      <c r="G240" s="4">
        <v>308</v>
      </c>
      <c r="H240" s="4">
        <f t="shared" si="11"/>
        <v>11604</v>
      </c>
      <c r="I240" s="4">
        <f t="shared" si="9"/>
        <v>11758</v>
      </c>
      <c r="J240" s="2" t="s">
        <v>261</v>
      </c>
    </row>
    <row r="241" spans="2:10">
      <c r="B241" s="3">
        <v>46261</v>
      </c>
      <c r="C241" s="2" t="s">
        <v>235</v>
      </c>
      <c r="D241" s="2" t="s">
        <v>10</v>
      </c>
      <c r="E241" s="4">
        <f t="shared" si="10"/>
        <v>11604</v>
      </c>
      <c r="F241" s="4">
        <f>IF(DAY(B241)=1,INDEX([1]Parametros!$C$7:$C$18,MONTH(B241)),0)</f>
        <v>0</v>
      </c>
      <c r="G241" s="4">
        <v>277</v>
      </c>
      <c r="H241" s="4">
        <f t="shared" si="11"/>
        <v>11327</v>
      </c>
      <c r="I241" s="4">
        <f t="shared" si="9"/>
        <v>11465.5</v>
      </c>
      <c r="J241" s="2" t="s">
        <v>262</v>
      </c>
    </row>
    <row r="242" spans="2:10">
      <c r="B242" s="3">
        <v>46262</v>
      </c>
      <c r="C242" s="2" t="s">
        <v>235</v>
      </c>
      <c r="D242" s="2" t="s">
        <v>12</v>
      </c>
      <c r="E242" s="4">
        <f t="shared" si="10"/>
        <v>11327</v>
      </c>
      <c r="F242" s="4">
        <f>IF(DAY(B242)=1,INDEX([1]Parametros!$C$7:$C$18,MONTH(B242)),0)</f>
        <v>0</v>
      </c>
      <c r="G242" s="4">
        <v>324</v>
      </c>
      <c r="H242" s="4">
        <f t="shared" si="11"/>
        <v>11003</v>
      </c>
      <c r="I242" s="4">
        <f t="shared" si="9"/>
        <v>11165</v>
      </c>
      <c r="J242" s="2" t="s">
        <v>263</v>
      </c>
    </row>
    <row r="243" spans="2:10">
      <c r="B243" s="3">
        <v>46263</v>
      </c>
      <c r="C243" s="2" t="s">
        <v>235</v>
      </c>
      <c r="D243" s="2" t="s">
        <v>14</v>
      </c>
      <c r="E243" s="4">
        <f t="shared" si="10"/>
        <v>11003</v>
      </c>
      <c r="F243" s="4">
        <f>IF(DAY(B243)=1,INDEX([1]Parametros!$C$7:$C$18,MONTH(B243)),0)</f>
        <v>0</v>
      </c>
      <c r="G243" s="4">
        <v>190</v>
      </c>
      <c r="H243" s="4">
        <f t="shared" si="11"/>
        <v>10813</v>
      </c>
      <c r="I243" s="4">
        <f t="shared" si="9"/>
        <v>10908</v>
      </c>
      <c r="J243" s="2" t="s">
        <v>264</v>
      </c>
    </row>
    <row r="244" spans="2:10">
      <c r="B244" s="3">
        <v>46264</v>
      </c>
      <c r="C244" s="2" t="s">
        <v>235</v>
      </c>
      <c r="D244" s="2" t="s">
        <v>16</v>
      </c>
      <c r="E244" s="4">
        <f t="shared" si="10"/>
        <v>10813</v>
      </c>
      <c r="F244" s="4">
        <f>IF(DAY(B244)=1,INDEX([1]Parametros!$C$7:$C$18,MONTH(B244)),0)</f>
        <v>0</v>
      </c>
      <c r="G244" s="4">
        <v>188</v>
      </c>
      <c r="H244" s="4">
        <f t="shared" si="11"/>
        <v>10625</v>
      </c>
      <c r="I244" s="4">
        <f t="shared" si="9"/>
        <v>10719</v>
      </c>
      <c r="J244" s="2" t="s">
        <v>265</v>
      </c>
    </row>
    <row r="245" spans="2:10">
      <c r="B245" s="3">
        <v>46265</v>
      </c>
      <c r="C245" s="2" t="s">
        <v>235</v>
      </c>
      <c r="D245" s="2" t="s">
        <v>18</v>
      </c>
      <c r="E245" s="4">
        <f t="shared" si="10"/>
        <v>10625</v>
      </c>
      <c r="F245" s="4">
        <f>IF(DAY(B245)=1,INDEX([1]Parametros!$C$7:$C$18,MONTH(B245)),0)</f>
        <v>0</v>
      </c>
      <c r="G245" s="4">
        <v>275</v>
      </c>
      <c r="H245" s="4">
        <f t="shared" si="11"/>
        <v>10350</v>
      </c>
      <c r="I245" s="4">
        <f t="shared" si="9"/>
        <v>10487.5</v>
      </c>
      <c r="J245" s="2" t="s">
        <v>266</v>
      </c>
    </row>
    <row r="246" spans="2:10">
      <c r="B246" s="3">
        <v>46266</v>
      </c>
      <c r="C246" s="2" t="s">
        <v>267</v>
      </c>
      <c r="D246" s="2" t="s">
        <v>20</v>
      </c>
      <c r="E246" s="4">
        <f t="shared" si="10"/>
        <v>10350</v>
      </c>
      <c r="F246" s="4">
        <f>IF(DAY(B246)=1,INDEX([1]Parametros!$C$7:$C$18,MONTH(B246)),0)</f>
        <v>9300</v>
      </c>
      <c r="G246" s="4">
        <v>328</v>
      </c>
      <c r="H246" s="4">
        <f t="shared" si="11"/>
        <v>19322</v>
      </c>
      <c r="I246" s="4">
        <f t="shared" si="9"/>
        <v>14836</v>
      </c>
      <c r="J246" s="2" t="s">
        <v>268</v>
      </c>
    </row>
    <row r="247" spans="2:10">
      <c r="B247" s="3">
        <v>46267</v>
      </c>
      <c r="C247" s="2" t="s">
        <v>267</v>
      </c>
      <c r="D247" s="2" t="s">
        <v>22</v>
      </c>
      <c r="E247" s="4">
        <f t="shared" si="10"/>
        <v>19322</v>
      </c>
      <c r="F247" s="4">
        <f>IF(DAY(B247)=1,INDEX([1]Parametros!$C$7:$C$18,MONTH(B247)),0)</f>
        <v>0</v>
      </c>
      <c r="G247" s="4">
        <v>343</v>
      </c>
      <c r="H247" s="4">
        <f t="shared" si="11"/>
        <v>18979</v>
      </c>
      <c r="I247" s="4">
        <f t="shared" si="9"/>
        <v>19150.5</v>
      </c>
      <c r="J247" s="2" t="s">
        <v>269</v>
      </c>
    </row>
    <row r="248" spans="2:10">
      <c r="B248" s="3">
        <v>46268</v>
      </c>
      <c r="C248" s="2" t="s">
        <v>267</v>
      </c>
      <c r="D248" s="2" t="s">
        <v>10</v>
      </c>
      <c r="E248" s="4">
        <f t="shared" si="10"/>
        <v>18979</v>
      </c>
      <c r="F248" s="4">
        <f>IF(DAY(B248)=1,INDEX([1]Parametros!$C$7:$C$18,MONTH(B248)),0)</f>
        <v>0</v>
      </c>
      <c r="G248" s="4">
        <v>361</v>
      </c>
      <c r="H248" s="4">
        <f t="shared" si="11"/>
        <v>18618</v>
      </c>
      <c r="I248" s="4">
        <f t="shared" si="9"/>
        <v>18798.5</v>
      </c>
      <c r="J248" s="2" t="s">
        <v>270</v>
      </c>
    </row>
    <row r="249" spans="2:10">
      <c r="B249" s="3">
        <v>46269</v>
      </c>
      <c r="C249" s="2" t="s">
        <v>267</v>
      </c>
      <c r="D249" s="2" t="s">
        <v>12</v>
      </c>
      <c r="E249" s="4">
        <f t="shared" si="10"/>
        <v>18618</v>
      </c>
      <c r="F249" s="4">
        <f>IF(DAY(B249)=1,INDEX([1]Parametros!$C$7:$C$18,MONTH(B249)),0)</f>
        <v>0</v>
      </c>
      <c r="G249" s="4">
        <v>358</v>
      </c>
      <c r="H249" s="4">
        <f t="shared" si="11"/>
        <v>18260</v>
      </c>
      <c r="I249" s="4">
        <f t="shared" si="9"/>
        <v>18439</v>
      </c>
      <c r="J249" s="2" t="s">
        <v>271</v>
      </c>
    </row>
    <row r="250" spans="2:10">
      <c r="B250" s="3">
        <v>46270</v>
      </c>
      <c r="C250" s="2" t="s">
        <v>267</v>
      </c>
      <c r="D250" s="2" t="s">
        <v>14</v>
      </c>
      <c r="E250" s="4">
        <f t="shared" si="10"/>
        <v>18260</v>
      </c>
      <c r="F250" s="4">
        <f>IF(DAY(B250)=1,INDEX([1]Parametros!$C$7:$C$18,MONTH(B250)),0)</f>
        <v>0</v>
      </c>
      <c r="G250" s="4">
        <v>257</v>
      </c>
      <c r="H250" s="4">
        <f t="shared" si="11"/>
        <v>18003</v>
      </c>
      <c r="I250" s="4">
        <f t="shared" si="9"/>
        <v>18131.5</v>
      </c>
      <c r="J250" s="2" t="s">
        <v>272</v>
      </c>
    </row>
    <row r="251" spans="2:10">
      <c r="B251" s="3">
        <v>46271</v>
      </c>
      <c r="C251" s="2" t="s">
        <v>267</v>
      </c>
      <c r="D251" s="2" t="s">
        <v>16</v>
      </c>
      <c r="E251" s="4">
        <f t="shared" si="10"/>
        <v>18003</v>
      </c>
      <c r="F251" s="4">
        <f>IF(DAY(B251)=1,INDEX([1]Parametros!$C$7:$C$18,MONTH(B251)),0)</f>
        <v>0</v>
      </c>
      <c r="G251" s="4">
        <v>164</v>
      </c>
      <c r="H251" s="4">
        <f t="shared" si="11"/>
        <v>17839</v>
      </c>
      <c r="I251" s="4">
        <f t="shared" si="9"/>
        <v>17921</v>
      </c>
      <c r="J251" s="2" t="s">
        <v>273</v>
      </c>
    </row>
    <row r="252" spans="2:10">
      <c r="B252" s="3">
        <v>46272</v>
      </c>
      <c r="C252" s="2" t="s">
        <v>267</v>
      </c>
      <c r="D252" s="2" t="s">
        <v>18</v>
      </c>
      <c r="E252" s="4">
        <f t="shared" si="10"/>
        <v>17839</v>
      </c>
      <c r="F252" s="4">
        <f>IF(DAY(B252)=1,INDEX([1]Parametros!$C$7:$C$18,MONTH(B252)),0)</f>
        <v>0</v>
      </c>
      <c r="G252" s="4">
        <v>329</v>
      </c>
      <c r="H252" s="4">
        <f t="shared" si="11"/>
        <v>17510</v>
      </c>
      <c r="I252" s="4">
        <f t="shared" si="9"/>
        <v>17674.5</v>
      </c>
      <c r="J252" s="2" t="s">
        <v>274</v>
      </c>
    </row>
    <row r="253" spans="2:10">
      <c r="B253" s="3">
        <v>46273</v>
      </c>
      <c r="C253" s="2" t="s">
        <v>267</v>
      </c>
      <c r="D253" s="2" t="s">
        <v>20</v>
      </c>
      <c r="E253" s="4">
        <f t="shared" si="10"/>
        <v>17510</v>
      </c>
      <c r="F253" s="4">
        <f>IF(DAY(B253)=1,INDEX([1]Parametros!$C$7:$C$18,MONTH(B253)),0)</f>
        <v>0</v>
      </c>
      <c r="G253" s="4">
        <v>318</v>
      </c>
      <c r="H253" s="4">
        <f t="shared" si="11"/>
        <v>17192</v>
      </c>
      <c r="I253" s="4">
        <f t="shared" si="9"/>
        <v>17351</v>
      </c>
      <c r="J253" s="2" t="s">
        <v>275</v>
      </c>
    </row>
    <row r="254" spans="2:10">
      <c r="B254" s="3">
        <v>46274</v>
      </c>
      <c r="C254" s="2" t="s">
        <v>267</v>
      </c>
      <c r="D254" s="2" t="s">
        <v>22</v>
      </c>
      <c r="E254" s="4">
        <f t="shared" si="10"/>
        <v>17192</v>
      </c>
      <c r="F254" s="4">
        <f>IF(DAY(B254)=1,INDEX([1]Parametros!$C$7:$C$18,MONTH(B254)),0)</f>
        <v>0</v>
      </c>
      <c r="G254" s="4">
        <v>373</v>
      </c>
      <c r="H254" s="4">
        <f t="shared" si="11"/>
        <v>16819</v>
      </c>
      <c r="I254" s="4">
        <f t="shared" si="9"/>
        <v>17005.5</v>
      </c>
      <c r="J254" s="2" t="s">
        <v>276</v>
      </c>
    </row>
    <row r="255" spans="2:10">
      <c r="B255" s="3">
        <v>46275</v>
      </c>
      <c r="C255" s="2" t="s">
        <v>267</v>
      </c>
      <c r="D255" s="2" t="s">
        <v>10</v>
      </c>
      <c r="E255" s="4">
        <f t="shared" si="10"/>
        <v>16819</v>
      </c>
      <c r="F255" s="4">
        <f>IF(DAY(B255)=1,INDEX([1]Parametros!$C$7:$C$18,MONTH(B255)),0)</f>
        <v>0</v>
      </c>
      <c r="G255" s="4">
        <v>346</v>
      </c>
      <c r="H255" s="4">
        <f t="shared" si="11"/>
        <v>16473</v>
      </c>
      <c r="I255" s="4">
        <f t="shared" si="9"/>
        <v>16646</v>
      </c>
      <c r="J255" s="2" t="s">
        <v>277</v>
      </c>
    </row>
    <row r="256" spans="2:10">
      <c r="B256" s="3">
        <v>46276</v>
      </c>
      <c r="C256" s="2" t="s">
        <v>267</v>
      </c>
      <c r="D256" s="2" t="s">
        <v>12</v>
      </c>
      <c r="E256" s="4">
        <f t="shared" si="10"/>
        <v>16473</v>
      </c>
      <c r="F256" s="4">
        <f>IF(DAY(B256)=1,INDEX([1]Parametros!$C$7:$C$18,MONTH(B256)),0)</f>
        <v>0</v>
      </c>
      <c r="G256" s="4">
        <v>370</v>
      </c>
      <c r="H256" s="4">
        <f t="shared" si="11"/>
        <v>16103</v>
      </c>
      <c r="I256" s="4">
        <f t="shared" si="9"/>
        <v>16288</v>
      </c>
      <c r="J256" s="2" t="s">
        <v>278</v>
      </c>
    </row>
    <row r="257" spans="2:10">
      <c r="B257" s="3">
        <v>46277</v>
      </c>
      <c r="C257" s="2" t="s">
        <v>267</v>
      </c>
      <c r="D257" s="2" t="s">
        <v>14</v>
      </c>
      <c r="E257" s="4">
        <f t="shared" si="10"/>
        <v>16103</v>
      </c>
      <c r="F257" s="4">
        <f>IF(DAY(B257)=1,INDEX([1]Parametros!$C$7:$C$18,MONTH(B257)),0)</f>
        <v>0</v>
      </c>
      <c r="G257" s="4">
        <v>322</v>
      </c>
      <c r="H257" s="4">
        <f t="shared" si="11"/>
        <v>15781</v>
      </c>
      <c r="I257" s="4">
        <f t="shared" si="9"/>
        <v>15942</v>
      </c>
      <c r="J257" s="2" t="s">
        <v>279</v>
      </c>
    </row>
    <row r="258" spans="2:10">
      <c r="B258" s="3">
        <v>46278</v>
      </c>
      <c r="C258" s="2" t="s">
        <v>267</v>
      </c>
      <c r="D258" s="2" t="s">
        <v>16</v>
      </c>
      <c r="E258" s="4">
        <f t="shared" si="10"/>
        <v>15781</v>
      </c>
      <c r="F258" s="4">
        <f>IF(DAY(B258)=1,INDEX([1]Parametros!$C$7:$C$18,MONTH(B258)),0)</f>
        <v>0</v>
      </c>
      <c r="G258" s="4">
        <v>174</v>
      </c>
      <c r="H258" s="4">
        <f t="shared" si="11"/>
        <v>15607</v>
      </c>
      <c r="I258" s="4">
        <f t="shared" si="9"/>
        <v>15694</v>
      </c>
      <c r="J258" s="2" t="s">
        <v>280</v>
      </c>
    </row>
    <row r="259" spans="2:10">
      <c r="B259" s="3">
        <v>46279</v>
      </c>
      <c r="C259" s="2" t="s">
        <v>267</v>
      </c>
      <c r="D259" s="2" t="s">
        <v>18</v>
      </c>
      <c r="E259" s="4">
        <f t="shared" si="10"/>
        <v>15607</v>
      </c>
      <c r="F259" s="4">
        <f>IF(DAY(B259)=1,INDEX([1]Parametros!$C$7:$C$18,MONTH(B259)),0)</f>
        <v>0</v>
      </c>
      <c r="G259" s="4">
        <v>367</v>
      </c>
      <c r="H259" s="4">
        <f t="shared" si="11"/>
        <v>15240</v>
      </c>
      <c r="I259" s="4">
        <f t="shared" ref="I259:I322" si="12">(E259+H259)/2</f>
        <v>15423.5</v>
      </c>
      <c r="J259" s="2" t="s">
        <v>281</v>
      </c>
    </row>
    <row r="260" spans="2:10">
      <c r="B260" s="3">
        <v>46280</v>
      </c>
      <c r="C260" s="2" t="s">
        <v>267</v>
      </c>
      <c r="D260" s="2" t="s">
        <v>20</v>
      </c>
      <c r="E260" s="4">
        <f t="shared" ref="E260:E323" si="13">H259</f>
        <v>15240</v>
      </c>
      <c r="F260" s="4">
        <f>IF(DAY(B260)=1,INDEX([1]Parametros!$C$7:$C$18,MONTH(B260)),0)</f>
        <v>0</v>
      </c>
      <c r="G260" s="4">
        <v>346</v>
      </c>
      <c r="H260" s="4">
        <f t="shared" ref="H260:H323" si="14">E260+F260-G260</f>
        <v>14894</v>
      </c>
      <c r="I260" s="4">
        <f t="shared" si="12"/>
        <v>15067</v>
      </c>
      <c r="J260" s="2" t="s">
        <v>282</v>
      </c>
    </row>
    <row r="261" spans="2:10">
      <c r="B261" s="3">
        <v>46281</v>
      </c>
      <c r="C261" s="2" t="s">
        <v>267</v>
      </c>
      <c r="D261" s="2" t="s">
        <v>22</v>
      </c>
      <c r="E261" s="4">
        <f t="shared" si="13"/>
        <v>14894</v>
      </c>
      <c r="F261" s="4">
        <f>IF(DAY(B261)=1,INDEX([1]Parametros!$C$7:$C$18,MONTH(B261)),0)</f>
        <v>0</v>
      </c>
      <c r="G261" s="4">
        <v>325</v>
      </c>
      <c r="H261" s="4">
        <f t="shared" si="14"/>
        <v>14569</v>
      </c>
      <c r="I261" s="4">
        <f t="shared" si="12"/>
        <v>14731.5</v>
      </c>
      <c r="J261" s="2" t="s">
        <v>283</v>
      </c>
    </row>
    <row r="262" spans="2:10">
      <c r="B262" s="3">
        <v>46282</v>
      </c>
      <c r="C262" s="2" t="s">
        <v>267</v>
      </c>
      <c r="D262" s="2" t="s">
        <v>10</v>
      </c>
      <c r="E262" s="4">
        <f t="shared" si="13"/>
        <v>14569</v>
      </c>
      <c r="F262" s="4">
        <f>IF(DAY(B262)=1,INDEX([1]Parametros!$C$7:$C$18,MONTH(B262)),0)</f>
        <v>0</v>
      </c>
      <c r="G262" s="4">
        <v>383</v>
      </c>
      <c r="H262" s="4">
        <f t="shared" si="14"/>
        <v>14186</v>
      </c>
      <c r="I262" s="4">
        <f t="shared" si="12"/>
        <v>14377.5</v>
      </c>
      <c r="J262" s="2" t="s">
        <v>284</v>
      </c>
    </row>
    <row r="263" spans="2:10">
      <c r="B263" s="3">
        <v>46283</v>
      </c>
      <c r="C263" s="2" t="s">
        <v>267</v>
      </c>
      <c r="D263" s="2" t="s">
        <v>12</v>
      </c>
      <c r="E263" s="4">
        <f t="shared" si="13"/>
        <v>14186</v>
      </c>
      <c r="F263" s="4">
        <f>IF(DAY(B263)=1,INDEX([1]Parametros!$C$7:$C$18,MONTH(B263)),0)</f>
        <v>0</v>
      </c>
      <c r="G263" s="4">
        <v>398</v>
      </c>
      <c r="H263" s="4">
        <f t="shared" si="14"/>
        <v>13788</v>
      </c>
      <c r="I263" s="4">
        <f t="shared" si="12"/>
        <v>13987</v>
      </c>
      <c r="J263" s="2" t="s">
        <v>285</v>
      </c>
    </row>
    <row r="264" spans="2:10">
      <c r="B264" s="3">
        <v>46284</v>
      </c>
      <c r="C264" s="2" t="s">
        <v>267</v>
      </c>
      <c r="D264" s="2" t="s">
        <v>14</v>
      </c>
      <c r="E264" s="4">
        <f t="shared" si="13"/>
        <v>13788</v>
      </c>
      <c r="F264" s="4">
        <f>IF(DAY(B264)=1,INDEX([1]Parametros!$C$7:$C$18,MONTH(B264)),0)</f>
        <v>0</v>
      </c>
      <c r="G264" s="4">
        <v>190</v>
      </c>
      <c r="H264" s="4">
        <f t="shared" si="14"/>
        <v>13598</v>
      </c>
      <c r="I264" s="4">
        <f t="shared" si="12"/>
        <v>13693</v>
      </c>
      <c r="J264" s="2" t="s">
        <v>286</v>
      </c>
    </row>
    <row r="265" spans="2:10">
      <c r="B265" s="3">
        <v>46285</v>
      </c>
      <c r="C265" s="2" t="s">
        <v>267</v>
      </c>
      <c r="D265" s="2" t="s">
        <v>16</v>
      </c>
      <c r="E265" s="4">
        <f t="shared" si="13"/>
        <v>13598</v>
      </c>
      <c r="F265" s="4">
        <f>IF(DAY(B265)=1,INDEX([1]Parametros!$C$7:$C$18,MONTH(B265)),0)</f>
        <v>0</v>
      </c>
      <c r="G265" s="4">
        <v>164</v>
      </c>
      <c r="H265" s="4">
        <f t="shared" si="14"/>
        <v>13434</v>
      </c>
      <c r="I265" s="4">
        <f t="shared" si="12"/>
        <v>13516</v>
      </c>
      <c r="J265" s="2" t="s">
        <v>287</v>
      </c>
    </row>
    <row r="266" spans="2:10">
      <c r="B266" s="3">
        <v>46286</v>
      </c>
      <c r="C266" s="2" t="s">
        <v>267</v>
      </c>
      <c r="D266" s="2" t="s">
        <v>18</v>
      </c>
      <c r="E266" s="4">
        <f t="shared" si="13"/>
        <v>13434</v>
      </c>
      <c r="F266" s="4">
        <f>IF(DAY(B266)=1,INDEX([1]Parametros!$C$7:$C$18,MONTH(B266)),0)</f>
        <v>0</v>
      </c>
      <c r="G266" s="4">
        <v>362</v>
      </c>
      <c r="H266" s="4">
        <f t="shared" si="14"/>
        <v>13072</v>
      </c>
      <c r="I266" s="4">
        <f t="shared" si="12"/>
        <v>13253</v>
      </c>
      <c r="J266" s="2" t="s">
        <v>288</v>
      </c>
    </row>
    <row r="267" spans="2:10">
      <c r="B267" s="3">
        <v>46287</v>
      </c>
      <c r="C267" s="2" t="s">
        <v>267</v>
      </c>
      <c r="D267" s="2" t="s">
        <v>20</v>
      </c>
      <c r="E267" s="4">
        <f t="shared" si="13"/>
        <v>13072</v>
      </c>
      <c r="F267" s="4">
        <f>IF(DAY(B267)=1,INDEX([1]Parametros!$C$7:$C$18,MONTH(B267)),0)</f>
        <v>0</v>
      </c>
      <c r="G267" s="4">
        <v>359</v>
      </c>
      <c r="H267" s="4">
        <f t="shared" si="14"/>
        <v>12713</v>
      </c>
      <c r="I267" s="4">
        <f t="shared" si="12"/>
        <v>12892.5</v>
      </c>
      <c r="J267" s="2" t="s">
        <v>289</v>
      </c>
    </row>
    <row r="268" spans="2:10">
      <c r="B268" s="3">
        <v>46288</v>
      </c>
      <c r="C268" s="2" t="s">
        <v>267</v>
      </c>
      <c r="D268" s="2" t="s">
        <v>22</v>
      </c>
      <c r="E268" s="4">
        <f t="shared" si="13"/>
        <v>12713</v>
      </c>
      <c r="F268" s="4">
        <f>IF(DAY(B268)=1,INDEX([1]Parametros!$C$7:$C$18,MONTH(B268)),0)</f>
        <v>0</v>
      </c>
      <c r="G268" s="4">
        <v>293</v>
      </c>
      <c r="H268" s="4">
        <f t="shared" si="14"/>
        <v>12420</v>
      </c>
      <c r="I268" s="4">
        <f t="shared" si="12"/>
        <v>12566.5</v>
      </c>
      <c r="J268" s="2" t="s">
        <v>290</v>
      </c>
    </row>
    <row r="269" spans="2:10">
      <c r="B269" s="3">
        <v>46289</v>
      </c>
      <c r="C269" s="2" t="s">
        <v>267</v>
      </c>
      <c r="D269" s="2" t="s">
        <v>10</v>
      </c>
      <c r="E269" s="4">
        <f t="shared" si="13"/>
        <v>12420</v>
      </c>
      <c r="F269" s="4">
        <f>IF(DAY(B269)=1,INDEX([1]Parametros!$C$7:$C$18,MONTH(B269)),0)</f>
        <v>0</v>
      </c>
      <c r="G269" s="4">
        <v>255</v>
      </c>
      <c r="H269" s="4">
        <f t="shared" si="14"/>
        <v>12165</v>
      </c>
      <c r="I269" s="4">
        <f t="shared" si="12"/>
        <v>12292.5</v>
      </c>
      <c r="J269" s="2" t="s">
        <v>291</v>
      </c>
    </row>
    <row r="270" spans="2:10">
      <c r="B270" s="3">
        <v>46290</v>
      </c>
      <c r="C270" s="2" t="s">
        <v>267</v>
      </c>
      <c r="D270" s="2" t="s">
        <v>12</v>
      </c>
      <c r="E270" s="4">
        <f t="shared" si="13"/>
        <v>12165</v>
      </c>
      <c r="F270" s="4">
        <f>IF(DAY(B270)=1,INDEX([1]Parametros!$C$7:$C$18,MONTH(B270)),0)</f>
        <v>0</v>
      </c>
      <c r="G270" s="4">
        <v>303</v>
      </c>
      <c r="H270" s="4">
        <f t="shared" si="14"/>
        <v>11862</v>
      </c>
      <c r="I270" s="4">
        <f t="shared" si="12"/>
        <v>12013.5</v>
      </c>
      <c r="J270" s="2" t="s">
        <v>292</v>
      </c>
    </row>
    <row r="271" spans="2:10">
      <c r="B271" s="3">
        <v>46291</v>
      </c>
      <c r="C271" s="2" t="s">
        <v>267</v>
      </c>
      <c r="D271" s="2" t="s">
        <v>14</v>
      </c>
      <c r="E271" s="4">
        <f t="shared" si="13"/>
        <v>11862</v>
      </c>
      <c r="F271" s="4">
        <f>IF(DAY(B271)=1,INDEX([1]Parametros!$C$7:$C$18,MONTH(B271)),0)</f>
        <v>0</v>
      </c>
      <c r="G271" s="4">
        <v>227</v>
      </c>
      <c r="H271" s="4">
        <f t="shared" si="14"/>
        <v>11635</v>
      </c>
      <c r="I271" s="4">
        <f t="shared" si="12"/>
        <v>11748.5</v>
      </c>
      <c r="J271" s="2" t="s">
        <v>293</v>
      </c>
    </row>
    <row r="272" spans="2:10">
      <c r="B272" s="3">
        <v>46292</v>
      </c>
      <c r="C272" s="2" t="s">
        <v>267</v>
      </c>
      <c r="D272" s="2" t="s">
        <v>16</v>
      </c>
      <c r="E272" s="4">
        <f t="shared" si="13"/>
        <v>11635</v>
      </c>
      <c r="F272" s="4">
        <f>IF(DAY(B272)=1,INDEX([1]Parametros!$C$7:$C$18,MONTH(B272)),0)</f>
        <v>0</v>
      </c>
      <c r="G272" s="4">
        <v>172</v>
      </c>
      <c r="H272" s="4">
        <f t="shared" si="14"/>
        <v>11463</v>
      </c>
      <c r="I272" s="4">
        <f t="shared" si="12"/>
        <v>11549</v>
      </c>
      <c r="J272" s="2" t="s">
        <v>294</v>
      </c>
    </row>
    <row r="273" spans="2:10">
      <c r="B273" s="3">
        <v>46293</v>
      </c>
      <c r="C273" s="2" t="s">
        <v>267</v>
      </c>
      <c r="D273" s="2" t="s">
        <v>18</v>
      </c>
      <c r="E273" s="4">
        <f t="shared" si="13"/>
        <v>11463</v>
      </c>
      <c r="F273" s="4">
        <f>IF(DAY(B273)=1,INDEX([1]Parametros!$C$7:$C$18,MONTH(B273)),0)</f>
        <v>0</v>
      </c>
      <c r="G273" s="4">
        <v>359</v>
      </c>
      <c r="H273" s="4">
        <f t="shared" si="14"/>
        <v>11104</v>
      </c>
      <c r="I273" s="4">
        <f t="shared" si="12"/>
        <v>11283.5</v>
      </c>
      <c r="J273" s="2" t="s">
        <v>295</v>
      </c>
    </row>
    <row r="274" spans="2:10">
      <c r="B274" s="3">
        <v>46294</v>
      </c>
      <c r="C274" s="2" t="s">
        <v>267</v>
      </c>
      <c r="D274" s="2" t="s">
        <v>20</v>
      </c>
      <c r="E274" s="4">
        <f t="shared" si="13"/>
        <v>11104</v>
      </c>
      <c r="F274" s="4">
        <f>IF(DAY(B274)=1,INDEX([1]Parametros!$C$7:$C$18,MONTH(B274)),0)</f>
        <v>0</v>
      </c>
      <c r="G274" s="4">
        <v>316</v>
      </c>
      <c r="H274" s="4">
        <f t="shared" si="14"/>
        <v>10788</v>
      </c>
      <c r="I274" s="4">
        <f t="shared" si="12"/>
        <v>10946</v>
      </c>
      <c r="J274" s="2" t="s">
        <v>296</v>
      </c>
    </row>
    <row r="275" spans="2:10">
      <c r="B275" s="3">
        <v>46295</v>
      </c>
      <c r="C275" s="2" t="s">
        <v>267</v>
      </c>
      <c r="D275" s="2" t="s">
        <v>22</v>
      </c>
      <c r="E275" s="4">
        <f t="shared" si="13"/>
        <v>10788</v>
      </c>
      <c r="F275" s="4">
        <f>IF(DAY(B275)=1,INDEX([1]Parametros!$C$7:$C$18,MONTH(B275)),0)</f>
        <v>0</v>
      </c>
      <c r="G275" s="4">
        <v>296</v>
      </c>
      <c r="H275" s="4">
        <f t="shared" si="14"/>
        <v>10492</v>
      </c>
      <c r="I275" s="4">
        <f t="shared" si="12"/>
        <v>10640</v>
      </c>
      <c r="J275" s="2" t="s">
        <v>297</v>
      </c>
    </row>
    <row r="276" spans="2:10">
      <c r="B276" s="3">
        <v>46296</v>
      </c>
      <c r="C276" s="2" t="s">
        <v>298</v>
      </c>
      <c r="D276" s="2" t="s">
        <v>10</v>
      </c>
      <c r="E276" s="4">
        <f t="shared" si="13"/>
        <v>10492</v>
      </c>
      <c r="F276" s="4">
        <f>IF(DAY(B276)=1,INDEX([1]Parametros!$C$7:$C$18,MONTH(B276)),0)</f>
        <v>9200</v>
      </c>
      <c r="G276" s="4">
        <v>267</v>
      </c>
      <c r="H276" s="4">
        <f t="shared" si="14"/>
        <v>19425</v>
      </c>
      <c r="I276" s="4">
        <f t="shared" si="12"/>
        <v>14958.5</v>
      </c>
      <c r="J276" s="2" t="s">
        <v>299</v>
      </c>
    </row>
    <row r="277" spans="2:10">
      <c r="B277" s="3">
        <v>46297</v>
      </c>
      <c r="C277" s="2" t="s">
        <v>298</v>
      </c>
      <c r="D277" s="2" t="s">
        <v>12</v>
      </c>
      <c r="E277" s="4">
        <f t="shared" si="13"/>
        <v>19425</v>
      </c>
      <c r="F277" s="4">
        <f>IF(DAY(B277)=1,INDEX([1]Parametros!$C$7:$C$18,MONTH(B277)),0)</f>
        <v>0</v>
      </c>
      <c r="G277" s="4">
        <v>372</v>
      </c>
      <c r="H277" s="4">
        <f t="shared" si="14"/>
        <v>19053</v>
      </c>
      <c r="I277" s="4">
        <f t="shared" si="12"/>
        <v>19239</v>
      </c>
      <c r="J277" s="2" t="s">
        <v>300</v>
      </c>
    </row>
    <row r="278" spans="2:10">
      <c r="B278" s="3">
        <v>46298</v>
      </c>
      <c r="C278" s="2" t="s">
        <v>298</v>
      </c>
      <c r="D278" s="2" t="s">
        <v>14</v>
      </c>
      <c r="E278" s="4">
        <f t="shared" si="13"/>
        <v>19053</v>
      </c>
      <c r="F278" s="4">
        <f>IF(DAY(B278)=1,INDEX([1]Parametros!$C$7:$C$18,MONTH(B278)),0)</f>
        <v>0</v>
      </c>
      <c r="G278" s="4">
        <v>244</v>
      </c>
      <c r="H278" s="4">
        <f t="shared" si="14"/>
        <v>18809</v>
      </c>
      <c r="I278" s="4">
        <f t="shared" si="12"/>
        <v>18931</v>
      </c>
      <c r="J278" s="2" t="s">
        <v>301</v>
      </c>
    </row>
    <row r="279" spans="2:10">
      <c r="B279" s="3">
        <v>46299</v>
      </c>
      <c r="C279" s="2" t="s">
        <v>298</v>
      </c>
      <c r="D279" s="2" t="s">
        <v>16</v>
      </c>
      <c r="E279" s="4">
        <f t="shared" si="13"/>
        <v>18809</v>
      </c>
      <c r="F279" s="4">
        <f>IF(DAY(B279)=1,INDEX([1]Parametros!$C$7:$C$18,MONTH(B279)),0)</f>
        <v>0</v>
      </c>
      <c r="G279" s="4">
        <v>206</v>
      </c>
      <c r="H279" s="4">
        <f t="shared" si="14"/>
        <v>18603</v>
      </c>
      <c r="I279" s="4">
        <f t="shared" si="12"/>
        <v>18706</v>
      </c>
      <c r="J279" s="2" t="s">
        <v>302</v>
      </c>
    </row>
    <row r="280" spans="2:10">
      <c r="B280" s="3">
        <v>46300</v>
      </c>
      <c r="C280" s="2" t="s">
        <v>298</v>
      </c>
      <c r="D280" s="2" t="s">
        <v>18</v>
      </c>
      <c r="E280" s="4">
        <f t="shared" si="13"/>
        <v>18603</v>
      </c>
      <c r="F280" s="4">
        <f>IF(DAY(B280)=1,INDEX([1]Parametros!$C$7:$C$18,MONTH(B280)),0)</f>
        <v>0</v>
      </c>
      <c r="G280" s="4">
        <v>379</v>
      </c>
      <c r="H280" s="4">
        <f t="shared" si="14"/>
        <v>18224</v>
      </c>
      <c r="I280" s="4">
        <f t="shared" si="12"/>
        <v>18413.5</v>
      </c>
      <c r="J280" s="2" t="s">
        <v>303</v>
      </c>
    </row>
    <row r="281" spans="2:10">
      <c r="B281" s="3">
        <v>46301</v>
      </c>
      <c r="C281" s="2" t="s">
        <v>298</v>
      </c>
      <c r="D281" s="2" t="s">
        <v>20</v>
      </c>
      <c r="E281" s="4">
        <f t="shared" si="13"/>
        <v>18224</v>
      </c>
      <c r="F281" s="4">
        <f>IF(DAY(B281)=1,INDEX([1]Parametros!$C$7:$C$18,MONTH(B281)),0)</f>
        <v>0</v>
      </c>
      <c r="G281" s="4">
        <v>338</v>
      </c>
      <c r="H281" s="4">
        <f t="shared" si="14"/>
        <v>17886</v>
      </c>
      <c r="I281" s="4">
        <f t="shared" si="12"/>
        <v>18055</v>
      </c>
      <c r="J281" s="2" t="s">
        <v>304</v>
      </c>
    </row>
    <row r="282" spans="2:10">
      <c r="B282" s="3">
        <v>46302</v>
      </c>
      <c r="C282" s="2" t="s">
        <v>298</v>
      </c>
      <c r="D282" s="2" t="s">
        <v>22</v>
      </c>
      <c r="E282" s="4">
        <f t="shared" si="13"/>
        <v>17886</v>
      </c>
      <c r="F282" s="4">
        <f>IF(DAY(B282)=1,INDEX([1]Parametros!$C$7:$C$18,MONTH(B282)),0)</f>
        <v>0</v>
      </c>
      <c r="G282" s="4">
        <v>375</v>
      </c>
      <c r="H282" s="4">
        <f t="shared" si="14"/>
        <v>17511</v>
      </c>
      <c r="I282" s="4">
        <f t="shared" si="12"/>
        <v>17698.5</v>
      </c>
      <c r="J282" s="2" t="s">
        <v>305</v>
      </c>
    </row>
    <row r="283" spans="2:10">
      <c r="B283" s="3">
        <v>46303</v>
      </c>
      <c r="C283" s="2" t="s">
        <v>298</v>
      </c>
      <c r="D283" s="2" t="s">
        <v>10</v>
      </c>
      <c r="E283" s="4">
        <f t="shared" si="13"/>
        <v>17511</v>
      </c>
      <c r="F283" s="4">
        <f>IF(DAY(B283)=1,INDEX([1]Parametros!$C$7:$C$18,MONTH(B283)),0)</f>
        <v>0</v>
      </c>
      <c r="G283" s="4">
        <v>320</v>
      </c>
      <c r="H283" s="4">
        <f t="shared" si="14"/>
        <v>17191</v>
      </c>
      <c r="I283" s="4">
        <f t="shared" si="12"/>
        <v>17351</v>
      </c>
      <c r="J283" s="2" t="s">
        <v>306</v>
      </c>
    </row>
    <row r="284" spans="2:10">
      <c r="B284" s="3">
        <v>46304</v>
      </c>
      <c r="C284" s="2" t="s">
        <v>298</v>
      </c>
      <c r="D284" s="2" t="s">
        <v>12</v>
      </c>
      <c r="E284" s="4">
        <f t="shared" si="13"/>
        <v>17191</v>
      </c>
      <c r="F284" s="4">
        <f>IF(DAY(B284)=1,INDEX([1]Parametros!$C$7:$C$18,MONTH(B284)),0)</f>
        <v>0</v>
      </c>
      <c r="G284" s="4">
        <v>344</v>
      </c>
      <c r="H284" s="4">
        <f t="shared" si="14"/>
        <v>16847</v>
      </c>
      <c r="I284" s="4">
        <f t="shared" si="12"/>
        <v>17019</v>
      </c>
      <c r="J284" s="2" t="s">
        <v>307</v>
      </c>
    </row>
    <row r="285" spans="2:10">
      <c r="B285" s="3">
        <v>46305</v>
      </c>
      <c r="C285" s="2" t="s">
        <v>298</v>
      </c>
      <c r="D285" s="2" t="s">
        <v>14</v>
      </c>
      <c r="E285" s="4">
        <f t="shared" si="13"/>
        <v>16847</v>
      </c>
      <c r="F285" s="4">
        <f>IF(DAY(B285)=1,INDEX([1]Parametros!$C$7:$C$18,MONTH(B285)),0)</f>
        <v>0</v>
      </c>
      <c r="G285" s="4">
        <v>219</v>
      </c>
      <c r="H285" s="4">
        <f t="shared" si="14"/>
        <v>16628</v>
      </c>
      <c r="I285" s="4">
        <f t="shared" si="12"/>
        <v>16737.5</v>
      </c>
      <c r="J285" s="2" t="s">
        <v>308</v>
      </c>
    </row>
    <row r="286" spans="2:10">
      <c r="B286" s="3">
        <v>46306</v>
      </c>
      <c r="C286" s="2" t="s">
        <v>298</v>
      </c>
      <c r="D286" s="2" t="s">
        <v>16</v>
      </c>
      <c r="E286" s="4">
        <f t="shared" si="13"/>
        <v>16628</v>
      </c>
      <c r="F286" s="4">
        <f>IF(DAY(B286)=1,INDEX([1]Parametros!$C$7:$C$18,MONTH(B286)),0)</f>
        <v>0</v>
      </c>
      <c r="G286" s="4">
        <v>162</v>
      </c>
      <c r="H286" s="4">
        <f t="shared" si="14"/>
        <v>16466</v>
      </c>
      <c r="I286" s="4">
        <f t="shared" si="12"/>
        <v>16547</v>
      </c>
      <c r="J286" s="2" t="s">
        <v>309</v>
      </c>
    </row>
    <row r="287" spans="2:10">
      <c r="B287" s="3">
        <v>46307</v>
      </c>
      <c r="C287" s="2" t="s">
        <v>298</v>
      </c>
      <c r="D287" s="2" t="s">
        <v>18</v>
      </c>
      <c r="E287" s="4">
        <f t="shared" si="13"/>
        <v>16466</v>
      </c>
      <c r="F287" s="4">
        <f>IF(DAY(B287)=1,INDEX([1]Parametros!$C$7:$C$18,MONTH(B287)),0)</f>
        <v>0</v>
      </c>
      <c r="G287" s="4">
        <v>296</v>
      </c>
      <c r="H287" s="4">
        <f t="shared" si="14"/>
        <v>16170</v>
      </c>
      <c r="I287" s="4">
        <f t="shared" si="12"/>
        <v>16318</v>
      </c>
      <c r="J287" s="2" t="s">
        <v>310</v>
      </c>
    </row>
    <row r="288" spans="2:10">
      <c r="B288" s="3">
        <v>46308</v>
      </c>
      <c r="C288" s="2" t="s">
        <v>298</v>
      </c>
      <c r="D288" s="2" t="s">
        <v>20</v>
      </c>
      <c r="E288" s="4">
        <f t="shared" si="13"/>
        <v>16170</v>
      </c>
      <c r="F288" s="4">
        <f>IF(DAY(B288)=1,INDEX([1]Parametros!$C$7:$C$18,MONTH(B288)),0)</f>
        <v>0</v>
      </c>
      <c r="G288" s="4">
        <v>348</v>
      </c>
      <c r="H288" s="4">
        <f t="shared" si="14"/>
        <v>15822</v>
      </c>
      <c r="I288" s="4">
        <f t="shared" si="12"/>
        <v>15996</v>
      </c>
      <c r="J288" s="2" t="s">
        <v>311</v>
      </c>
    </row>
    <row r="289" spans="2:10">
      <c r="B289" s="3">
        <v>46309</v>
      </c>
      <c r="C289" s="2" t="s">
        <v>298</v>
      </c>
      <c r="D289" s="2" t="s">
        <v>22</v>
      </c>
      <c r="E289" s="4">
        <f t="shared" si="13"/>
        <v>15822</v>
      </c>
      <c r="F289" s="4">
        <f>IF(DAY(B289)=1,INDEX([1]Parametros!$C$7:$C$18,MONTH(B289)),0)</f>
        <v>0</v>
      </c>
      <c r="G289" s="4">
        <v>344</v>
      </c>
      <c r="H289" s="4">
        <f t="shared" si="14"/>
        <v>15478</v>
      </c>
      <c r="I289" s="4">
        <f t="shared" si="12"/>
        <v>15650</v>
      </c>
      <c r="J289" s="2" t="s">
        <v>312</v>
      </c>
    </row>
    <row r="290" spans="2:10">
      <c r="B290" s="3">
        <v>46310</v>
      </c>
      <c r="C290" s="2" t="s">
        <v>298</v>
      </c>
      <c r="D290" s="2" t="s">
        <v>10</v>
      </c>
      <c r="E290" s="4">
        <f t="shared" si="13"/>
        <v>15478</v>
      </c>
      <c r="F290" s="4">
        <f>IF(DAY(B290)=1,INDEX([1]Parametros!$C$7:$C$18,MONTH(B290)),0)</f>
        <v>0</v>
      </c>
      <c r="G290" s="4">
        <v>314</v>
      </c>
      <c r="H290" s="4">
        <f t="shared" si="14"/>
        <v>15164</v>
      </c>
      <c r="I290" s="4">
        <f t="shared" si="12"/>
        <v>15321</v>
      </c>
      <c r="J290" s="2" t="s">
        <v>313</v>
      </c>
    </row>
    <row r="291" spans="2:10">
      <c r="B291" s="3">
        <v>46311</v>
      </c>
      <c r="C291" s="2" t="s">
        <v>298</v>
      </c>
      <c r="D291" s="2" t="s">
        <v>12</v>
      </c>
      <c r="E291" s="4">
        <f t="shared" si="13"/>
        <v>15164</v>
      </c>
      <c r="F291" s="4">
        <f>IF(DAY(B291)=1,INDEX([1]Parametros!$C$7:$C$18,MONTH(B291)),0)</f>
        <v>0</v>
      </c>
      <c r="G291" s="4">
        <v>343</v>
      </c>
      <c r="H291" s="4">
        <f t="shared" si="14"/>
        <v>14821</v>
      </c>
      <c r="I291" s="4">
        <f t="shared" si="12"/>
        <v>14992.5</v>
      </c>
      <c r="J291" s="2" t="s">
        <v>314</v>
      </c>
    </row>
    <row r="292" spans="2:10">
      <c r="B292" s="3">
        <v>46312</v>
      </c>
      <c r="C292" s="2" t="s">
        <v>298</v>
      </c>
      <c r="D292" s="2" t="s">
        <v>14</v>
      </c>
      <c r="E292" s="4">
        <f t="shared" si="13"/>
        <v>14821</v>
      </c>
      <c r="F292" s="4">
        <f>IF(DAY(B292)=1,INDEX([1]Parametros!$C$7:$C$18,MONTH(B292)),0)</f>
        <v>0</v>
      </c>
      <c r="G292" s="4">
        <v>244</v>
      </c>
      <c r="H292" s="4">
        <f t="shared" si="14"/>
        <v>14577</v>
      </c>
      <c r="I292" s="4">
        <f t="shared" si="12"/>
        <v>14699</v>
      </c>
      <c r="J292" s="2" t="s">
        <v>315</v>
      </c>
    </row>
    <row r="293" spans="2:10">
      <c r="B293" s="3">
        <v>46313</v>
      </c>
      <c r="C293" s="2" t="s">
        <v>298</v>
      </c>
      <c r="D293" s="2" t="s">
        <v>16</v>
      </c>
      <c r="E293" s="4">
        <f t="shared" si="13"/>
        <v>14577</v>
      </c>
      <c r="F293" s="4">
        <f>IF(DAY(B293)=1,INDEX([1]Parametros!$C$7:$C$18,MONTH(B293)),0)</f>
        <v>0</v>
      </c>
      <c r="G293" s="4">
        <v>226</v>
      </c>
      <c r="H293" s="4">
        <f t="shared" si="14"/>
        <v>14351</v>
      </c>
      <c r="I293" s="4">
        <f t="shared" si="12"/>
        <v>14464</v>
      </c>
      <c r="J293" s="2" t="s">
        <v>316</v>
      </c>
    </row>
    <row r="294" spans="2:10">
      <c r="B294" s="3">
        <v>46314</v>
      </c>
      <c r="C294" s="2" t="s">
        <v>298</v>
      </c>
      <c r="D294" s="2" t="s">
        <v>18</v>
      </c>
      <c r="E294" s="4">
        <f t="shared" si="13"/>
        <v>14351</v>
      </c>
      <c r="F294" s="4">
        <f>IF(DAY(B294)=1,INDEX([1]Parametros!$C$7:$C$18,MONTH(B294)),0)</f>
        <v>0</v>
      </c>
      <c r="G294" s="4">
        <v>357</v>
      </c>
      <c r="H294" s="4">
        <f t="shared" si="14"/>
        <v>13994</v>
      </c>
      <c r="I294" s="4">
        <f t="shared" si="12"/>
        <v>14172.5</v>
      </c>
      <c r="J294" s="2" t="s">
        <v>317</v>
      </c>
    </row>
    <row r="295" spans="2:10">
      <c r="B295" s="3">
        <v>46315</v>
      </c>
      <c r="C295" s="2" t="s">
        <v>298</v>
      </c>
      <c r="D295" s="2" t="s">
        <v>20</v>
      </c>
      <c r="E295" s="4">
        <f t="shared" si="13"/>
        <v>13994</v>
      </c>
      <c r="F295" s="4">
        <f>IF(DAY(B295)=1,INDEX([1]Parametros!$C$7:$C$18,MONTH(B295)),0)</f>
        <v>0</v>
      </c>
      <c r="G295" s="4">
        <v>329</v>
      </c>
      <c r="H295" s="4">
        <f t="shared" si="14"/>
        <v>13665</v>
      </c>
      <c r="I295" s="4">
        <f t="shared" si="12"/>
        <v>13829.5</v>
      </c>
      <c r="J295" s="2" t="s">
        <v>318</v>
      </c>
    </row>
    <row r="296" spans="2:10">
      <c r="B296" s="3">
        <v>46316</v>
      </c>
      <c r="C296" s="2" t="s">
        <v>298</v>
      </c>
      <c r="D296" s="2" t="s">
        <v>22</v>
      </c>
      <c r="E296" s="4">
        <f t="shared" si="13"/>
        <v>13665</v>
      </c>
      <c r="F296" s="4">
        <f>IF(DAY(B296)=1,INDEX([1]Parametros!$C$7:$C$18,MONTH(B296)),0)</f>
        <v>0</v>
      </c>
      <c r="G296" s="4">
        <v>320</v>
      </c>
      <c r="H296" s="4">
        <f t="shared" si="14"/>
        <v>13345</v>
      </c>
      <c r="I296" s="4">
        <f t="shared" si="12"/>
        <v>13505</v>
      </c>
      <c r="J296" s="2" t="s">
        <v>319</v>
      </c>
    </row>
    <row r="297" spans="2:10">
      <c r="B297" s="3">
        <v>46317</v>
      </c>
      <c r="C297" s="2" t="s">
        <v>298</v>
      </c>
      <c r="D297" s="2" t="s">
        <v>10</v>
      </c>
      <c r="E297" s="4">
        <f t="shared" si="13"/>
        <v>13345</v>
      </c>
      <c r="F297" s="4">
        <f>IF(DAY(B297)=1,INDEX([1]Parametros!$C$7:$C$18,MONTH(B297)),0)</f>
        <v>0</v>
      </c>
      <c r="G297" s="4">
        <v>322</v>
      </c>
      <c r="H297" s="4">
        <f t="shared" si="14"/>
        <v>13023</v>
      </c>
      <c r="I297" s="4">
        <f t="shared" si="12"/>
        <v>13184</v>
      </c>
      <c r="J297" s="2" t="s">
        <v>320</v>
      </c>
    </row>
    <row r="298" spans="2:10">
      <c r="B298" s="3">
        <v>46318</v>
      </c>
      <c r="C298" s="2" t="s">
        <v>298</v>
      </c>
      <c r="D298" s="2" t="s">
        <v>12</v>
      </c>
      <c r="E298" s="4">
        <f t="shared" si="13"/>
        <v>13023</v>
      </c>
      <c r="F298" s="4">
        <f>IF(DAY(B298)=1,INDEX([1]Parametros!$C$7:$C$18,MONTH(B298)),0)</f>
        <v>0</v>
      </c>
      <c r="G298" s="4">
        <v>327</v>
      </c>
      <c r="H298" s="4">
        <f t="shared" si="14"/>
        <v>12696</v>
      </c>
      <c r="I298" s="4">
        <f t="shared" si="12"/>
        <v>12859.5</v>
      </c>
      <c r="J298" s="2" t="s">
        <v>321</v>
      </c>
    </row>
    <row r="299" spans="2:10">
      <c r="B299" s="3">
        <v>46319</v>
      </c>
      <c r="C299" s="2" t="s">
        <v>298</v>
      </c>
      <c r="D299" s="2" t="s">
        <v>14</v>
      </c>
      <c r="E299" s="4">
        <f t="shared" si="13"/>
        <v>12696</v>
      </c>
      <c r="F299" s="4">
        <f>IF(DAY(B299)=1,INDEX([1]Parametros!$C$7:$C$18,MONTH(B299)),0)</f>
        <v>0</v>
      </c>
      <c r="G299" s="4">
        <v>230</v>
      </c>
      <c r="H299" s="4">
        <f t="shared" si="14"/>
        <v>12466</v>
      </c>
      <c r="I299" s="4">
        <f t="shared" si="12"/>
        <v>12581</v>
      </c>
      <c r="J299" s="2" t="s">
        <v>322</v>
      </c>
    </row>
    <row r="300" spans="2:10">
      <c r="B300" s="3">
        <v>46320</v>
      </c>
      <c r="C300" s="2" t="s">
        <v>298</v>
      </c>
      <c r="D300" s="2" t="s">
        <v>16</v>
      </c>
      <c r="E300" s="4">
        <f t="shared" si="13"/>
        <v>12466</v>
      </c>
      <c r="F300" s="4">
        <f>IF(DAY(B300)=1,INDEX([1]Parametros!$C$7:$C$18,MONTH(B300)),0)</f>
        <v>0</v>
      </c>
      <c r="G300" s="4">
        <v>180</v>
      </c>
      <c r="H300" s="4">
        <f t="shared" si="14"/>
        <v>12286</v>
      </c>
      <c r="I300" s="4">
        <f t="shared" si="12"/>
        <v>12376</v>
      </c>
      <c r="J300" s="2" t="s">
        <v>323</v>
      </c>
    </row>
    <row r="301" spans="2:10">
      <c r="B301" s="3">
        <v>46321</v>
      </c>
      <c r="C301" s="2" t="s">
        <v>298</v>
      </c>
      <c r="D301" s="2" t="s">
        <v>18</v>
      </c>
      <c r="E301" s="4">
        <f t="shared" si="13"/>
        <v>12286</v>
      </c>
      <c r="F301" s="4">
        <f>IF(DAY(B301)=1,INDEX([1]Parametros!$C$7:$C$18,MONTH(B301)),0)</f>
        <v>0</v>
      </c>
      <c r="G301" s="4">
        <v>408</v>
      </c>
      <c r="H301" s="4">
        <f t="shared" si="14"/>
        <v>11878</v>
      </c>
      <c r="I301" s="4">
        <f t="shared" si="12"/>
        <v>12082</v>
      </c>
      <c r="J301" s="2" t="s">
        <v>324</v>
      </c>
    </row>
    <row r="302" spans="2:10">
      <c r="B302" s="3">
        <v>46322</v>
      </c>
      <c r="C302" s="2" t="s">
        <v>298</v>
      </c>
      <c r="D302" s="2" t="s">
        <v>20</v>
      </c>
      <c r="E302" s="4">
        <f t="shared" si="13"/>
        <v>11878</v>
      </c>
      <c r="F302" s="4">
        <f>IF(DAY(B302)=1,INDEX([1]Parametros!$C$7:$C$18,MONTH(B302)),0)</f>
        <v>0</v>
      </c>
      <c r="G302" s="4">
        <v>370</v>
      </c>
      <c r="H302" s="4">
        <f t="shared" si="14"/>
        <v>11508</v>
      </c>
      <c r="I302" s="4">
        <f t="shared" si="12"/>
        <v>11693</v>
      </c>
      <c r="J302" s="2" t="s">
        <v>325</v>
      </c>
    </row>
    <row r="303" spans="2:10">
      <c r="B303" s="3">
        <v>46323</v>
      </c>
      <c r="C303" s="2" t="s">
        <v>298</v>
      </c>
      <c r="D303" s="2" t="s">
        <v>22</v>
      </c>
      <c r="E303" s="4">
        <f t="shared" si="13"/>
        <v>11508</v>
      </c>
      <c r="F303" s="4">
        <f>IF(DAY(B303)=1,INDEX([1]Parametros!$C$7:$C$18,MONTH(B303)),0)</f>
        <v>0</v>
      </c>
      <c r="G303" s="4">
        <v>366</v>
      </c>
      <c r="H303" s="4">
        <f t="shared" si="14"/>
        <v>11142</v>
      </c>
      <c r="I303" s="4">
        <f t="shared" si="12"/>
        <v>11325</v>
      </c>
      <c r="J303" s="2" t="s">
        <v>326</v>
      </c>
    </row>
    <row r="304" spans="2:10">
      <c r="B304" s="3">
        <v>46324</v>
      </c>
      <c r="C304" s="2" t="s">
        <v>298</v>
      </c>
      <c r="D304" s="2" t="s">
        <v>10</v>
      </c>
      <c r="E304" s="4">
        <f t="shared" si="13"/>
        <v>11142</v>
      </c>
      <c r="F304" s="4">
        <f>IF(DAY(B304)=1,INDEX([1]Parametros!$C$7:$C$18,MONTH(B304)),0)</f>
        <v>0</v>
      </c>
      <c r="G304" s="4">
        <v>304</v>
      </c>
      <c r="H304" s="4">
        <f t="shared" si="14"/>
        <v>10838</v>
      </c>
      <c r="I304" s="4">
        <f t="shared" si="12"/>
        <v>10990</v>
      </c>
      <c r="J304" s="2" t="s">
        <v>327</v>
      </c>
    </row>
    <row r="305" spans="2:10">
      <c r="B305" s="3">
        <v>46325</v>
      </c>
      <c r="C305" s="2" t="s">
        <v>298</v>
      </c>
      <c r="D305" s="2" t="s">
        <v>12</v>
      </c>
      <c r="E305" s="4">
        <f t="shared" si="13"/>
        <v>10838</v>
      </c>
      <c r="F305" s="4">
        <f>IF(DAY(B305)=1,INDEX([1]Parametros!$C$7:$C$18,MONTH(B305)),0)</f>
        <v>0</v>
      </c>
      <c r="G305" s="4">
        <v>382</v>
      </c>
      <c r="H305" s="4">
        <f t="shared" si="14"/>
        <v>10456</v>
      </c>
      <c r="I305" s="4">
        <f t="shared" si="12"/>
        <v>10647</v>
      </c>
      <c r="J305" s="2" t="s">
        <v>328</v>
      </c>
    </row>
    <row r="306" spans="2:10">
      <c r="B306" s="3">
        <v>46326</v>
      </c>
      <c r="C306" s="2" t="s">
        <v>298</v>
      </c>
      <c r="D306" s="2" t="s">
        <v>14</v>
      </c>
      <c r="E306" s="4">
        <f t="shared" si="13"/>
        <v>10456</v>
      </c>
      <c r="F306" s="4">
        <f>IF(DAY(B306)=1,INDEX([1]Parametros!$C$7:$C$18,MONTH(B306)),0)</f>
        <v>0</v>
      </c>
      <c r="G306" s="4">
        <v>201</v>
      </c>
      <c r="H306" s="4">
        <f t="shared" si="14"/>
        <v>10255</v>
      </c>
      <c r="I306" s="4">
        <f t="shared" si="12"/>
        <v>10355.5</v>
      </c>
      <c r="J306" s="2" t="s">
        <v>329</v>
      </c>
    </row>
    <row r="307" spans="2:10">
      <c r="B307" s="3">
        <v>46327</v>
      </c>
      <c r="C307" s="2" t="s">
        <v>330</v>
      </c>
      <c r="D307" s="2" t="s">
        <v>16</v>
      </c>
      <c r="E307" s="4">
        <f t="shared" si="13"/>
        <v>10255</v>
      </c>
      <c r="F307" s="4">
        <f>IF(DAY(B307)=1,INDEX([1]Parametros!$C$7:$C$18,MONTH(B307)),0)</f>
        <v>10000</v>
      </c>
      <c r="G307" s="4">
        <v>197</v>
      </c>
      <c r="H307" s="4">
        <f t="shared" si="14"/>
        <v>20058</v>
      </c>
      <c r="I307" s="4">
        <f t="shared" si="12"/>
        <v>15156.5</v>
      </c>
      <c r="J307" s="2" t="s">
        <v>331</v>
      </c>
    </row>
    <row r="308" spans="2:10">
      <c r="B308" s="3">
        <v>46328</v>
      </c>
      <c r="C308" s="2" t="s">
        <v>330</v>
      </c>
      <c r="D308" s="2" t="s">
        <v>18</v>
      </c>
      <c r="E308" s="4">
        <f t="shared" si="13"/>
        <v>20058</v>
      </c>
      <c r="F308" s="4">
        <f>IF(DAY(B308)=1,INDEX([1]Parametros!$C$7:$C$18,MONTH(B308)),0)</f>
        <v>0</v>
      </c>
      <c r="G308" s="4">
        <v>388</v>
      </c>
      <c r="H308" s="4">
        <f t="shared" si="14"/>
        <v>19670</v>
      </c>
      <c r="I308" s="4">
        <f t="shared" si="12"/>
        <v>19864</v>
      </c>
      <c r="J308" s="2" t="s">
        <v>332</v>
      </c>
    </row>
    <row r="309" spans="2:10">
      <c r="B309" s="3">
        <v>46329</v>
      </c>
      <c r="C309" s="2" t="s">
        <v>330</v>
      </c>
      <c r="D309" s="2" t="s">
        <v>20</v>
      </c>
      <c r="E309" s="4">
        <f t="shared" si="13"/>
        <v>19670</v>
      </c>
      <c r="F309" s="4">
        <f>IF(DAY(B309)=1,INDEX([1]Parametros!$C$7:$C$18,MONTH(B309)),0)</f>
        <v>0</v>
      </c>
      <c r="G309" s="4">
        <v>341</v>
      </c>
      <c r="H309" s="4">
        <f t="shared" si="14"/>
        <v>19329</v>
      </c>
      <c r="I309" s="4">
        <f t="shared" si="12"/>
        <v>19499.5</v>
      </c>
      <c r="J309" s="2" t="s">
        <v>333</v>
      </c>
    </row>
    <row r="310" spans="2:10">
      <c r="B310" s="3">
        <v>46330</v>
      </c>
      <c r="C310" s="2" t="s">
        <v>330</v>
      </c>
      <c r="D310" s="2" t="s">
        <v>22</v>
      </c>
      <c r="E310" s="4">
        <f t="shared" si="13"/>
        <v>19329</v>
      </c>
      <c r="F310" s="4">
        <f>IF(DAY(B310)=1,INDEX([1]Parametros!$C$7:$C$18,MONTH(B310)),0)</f>
        <v>0</v>
      </c>
      <c r="G310" s="4">
        <v>412</v>
      </c>
      <c r="H310" s="4">
        <f t="shared" si="14"/>
        <v>18917</v>
      </c>
      <c r="I310" s="4">
        <f t="shared" si="12"/>
        <v>19123</v>
      </c>
      <c r="J310" s="2" t="s">
        <v>334</v>
      </c>
    </row>
    <row r="311" spans="2:10">
      <c r="B311" s="3">
        <v>46331</v>
      </c>
      <c r="C311" s="2" t="s">
        <v>330</v>
      </c>
      <c r="D311" s="2" t="s">
        <v>10</v>
      </c>
      <c r="E311" s="4">
        <f t="shared" si="13"/>
        <v>18917</v>
      </c>
      <c r="F311" s="4">
        <f>IF(DAY(B311)=1,INDEX([1]Parametros!$C$7:$C$18,MONTH(B311)),0)</f>
        <v>0</v>
      </c>
      <c r="G311" s="4">
        <v>358</v>
      </c>
      <c r="H311" s="4">
        <f t="shared" si="14"/>
        <v>18559</v>
      </c>
      <c r="I311" s="4">
        <f t="shared" si="12"/>
        <v>18738</v>
      </c>
      <c r="J311" s="2" t="s">
        <v>335</v>
      </c>
    </row>
    <row r="312" spans="2:10">
      <c r="B312" s="3">
        <v>46332</v>
      </c>
      <c r="C312" s="2" t="s">
        <v>330</v>
      </c>
      <c r="D312" s="2" t="s">
        <v>12</v>
      </c>
      <c r="E312" s="4">
        <f t="shared" si="13"/>
        <v>18559</v>
      </c>
      <c r="F312" s="4">
        <f>IF(DAY(B312)=1,INDEX([1]Parametros!$C$7:$C$18,MONTH(B312)),0)</f>
        <v>0</v>
      </c>
      <c r="G312" s="4">
        <v>330</v>
      </c>
      <c r="H312" s="4">
        <f t="shared" si="14"/>
        <v>18229</v>
      </c>
      <c r="I312" s="4">
        <f t="shared" si="12"/>
        <v>18394</v>
      </c>
      <c r="J312" s="2" t="s">
        <v>336</v>
      </c>
    </row>
    <row r="313" spans="2:10">
      <c r="B313" s="3">
        <v>46333</v>
      </c>
      <c r="C313" s="2" t="s">
        <v>330</v>
      </c>
      <c r="D313" s="2" t="s">
        <v>14</v>
      </c>
      <c r="E313" s="4">
        <f t="shared" si="13"/>
        <v>18229</v>
      </c>
      <c r="F313" s="4">
        <f>IF(DAY(B313)=1,INDEX([1]Parametros!$C$7:$C$18,MONTH(B313)),0)</f>
        <v>0</v>
      </c>
      <c r="G313" s="4">
        <v>262</v>
      </c>
      <c r="H313" s="4">
        <f t="shared" si="14"/>
        <v>17967</v>
      </c>
      <c r="I313" s="4">
        <f t="shared" si="12"/>
        <v>18098</v>
      </c>
      <c r="J313" s="2" t="s">
        <v>337</v>
      </c>
    </row>
    <row r="314" spans="2:10">
      <c r="B314" s="3">
        <v>46334</v>
      </c>
      <c r="C314" s="2" t="s">
        <v>330</v>
      </c>
      <c r="D314" s="2" t="s">
        <v>16</v>
      </c>
      <c r="E314" s="4">
        <f t="shared" si="13"/>
        <v>17967</v>
      </c>
      <c r="F314" s="4">
        <f>IF(DAY(B314)=1,INDEX([1]Parametros!$C$7:$C$18,MONTH(B314)),0)</f>
        <v>0</v>
      </c>
      <c r="G314" s="4">
        <v>177</v>
      </c>
      <c r="H314" s="4">
        <f t="shared" si="14"/>
        <v>17790</v>
      </c>
      <c r="I314" s="4">
        <f t="shared" si="12"/>
        <v>17878.5</v>
      </c>
      <c r="J314" s="2" t="s">
        <v>338</v>
      </c>
    </row>
    <row r="315" spans="2:10">
      <c r="B315" s="3">
        <v>46335</v>
      </c>
      <c r="C315" s="2" t="s">
        <v>330</v>
      </c>
      <c r="D315" s="2" t="s">
        <v>18</v>
      </c>
      <c r="E315" s="4">
        <f t="shared" si="13"/>
        <v>17790</v>
      </c>
      <c r="F315" s="4">
        <f>IF(DAY(B315)=1,INDEX([1]Parametros!$C$7:$C$18,MONTH(B315)),0)</f>
        <v>0</v>
      </c>
      <c r="G315" s="4">
        <v>376</v>
      </c>
      <c r="H315" s="4">
        <f t="shared" si="14"/>
        <v>17414</v>
      </c>
      <c r="I315" s="4">
        <f t="shared" si="12"/>
        <v>17602</v>
      </c>
      <c r="J315" s="2" t="s">
        <v>339</v>
      </c>
    </row>
    <row r="316" spans="2:10">
      <c r="B316" s="3">
        <v>46336</v>
      </c>
      <c r="C316" s="2" t="s">
        <v>330</v>
      </c>
      <c r="D316" s="2" t="s">
        <v>20</v>
      </c>
      <c r="E316" s="4">
        <f t="shared" si="13"/>
        <v>17414</v>
      </c>
      <c r="F316" s="4">
        <f>IF(DAY(B316)=1,INDEX([1]Parametros!$C$7:$C$18,MONTH(B316)),0)</f>
        <v>0</v>
      </c>
      <c r="G316" s="4">
        <v>376</v>
      </c>
      <c r="H316" s="4">
        <f t="shared" si="14"/>
        <v>17038</v>
      </c>
      <c r="I316" s="4">
        <f t="shared" si="12"/>
        <v>17226</v>
      </c>
      <c r="J316" s="2" t="s">
        <v>340</v>
      </c>
    </row>
    <row r="317" spans="2:10">
      <c r="B317" s="3">
        <v>46337</v>
      </c>
      <c r="C317" s="2" t="s">
        <v>330</v>
      </c>
      <c r="D317" s="2" t="s">
        <v>22</v>
      </c>
      <c r="E317" s="4">
        <f t="shared" si="13"/>
        <v>17038</v>
      </c>
      <c r="F317" s="4">
        <f>IF(DAY(B317)=1,INDEX([1]Parametros!$C$7:$C$18,MONTH(B317)),0)</f>
        <v>0</v>
      </c>
      <c r="G317" s="4">
        <v>367</v>
      </c>
      <c r="H317" s="4">
        <f t="shared" si="14"/>
        <v>16671</v>
      </c>
      <c r="I317" s="4">
        <f t="shared" si="12"/>
        <v>16854.5</v>
      </c>
      <c r="J317" s="2" t="s">
        <v>341</v>
      </c>
    </row>
    <row r="318" spans="2:10">
      <c r="B318" s="3">
        <v>46338</v>
      </c>
      <c r="C318" s="2" t="s">
        <v>330</v>
      </c>
      <c r="D318" s="2" t="s">
        <v>10</v>
      </c>
      <c r="E318" s="4">
        <f t="shared" si="13"/>
        <v>16671</v>
      </c>
      <c r="F318" s="4">
        <f>IF(DAY(B318)=1,INDEX([1]Parametros!$C$7:$C$18,MONTH(B318)),0)</f>
        <v>0</v>
      </c>
      <c r="G318" s="4">
        <v>285</v>
      </c>
      <c r="H318" s="4">
        <f t="shared" si="14"/>
        <v>16386</v>
      </c>
      <c r="I318" s="4">
        <f t="shared" si="12"/>
        <v>16528.5</v>
      </c>
      <c r="J318" s="2" t="s">
        <v>342</v>
      </c>
    </row>
    <row r="319" spans="2:10">
      <c r="B319" s="3">
        <v>46339</v>
      </c>
      <c r="C319" s="2" t="s">
        <v>330</v>
      </c>
      <c r="D319" s="2" t="s">
        <v>12</v>
      </c>
      <c r="E319" s="4">
        <f t="shared" si="13"/>
        <v>16386</v>
      </c>
      <c r="F319" s="4">
        <f>IF(DAY(B319)=1,INDEX([1]Parametros!$C$7:$C$18,MONTH(B319)),0)</f>
        <v>0</v>
      </c>
      <c r="G319" s="4">
        <v>351</v>
      </c>
      <c r="H319" s="4">
        <f t="shared" si="14"/>
        <v>16035</v>
      </c>
      <c r="I319" s="4">
        <f t="shared" si="12"/>
        <v>16210.5</v>
      </c>
      <c r="J319" s="2" t="s">
        <v>343</v>
      </c>
    </row>
    <row r="320" spans="2:10">
      <c r="B320" s="3">
        <v>46340</v>
      </c>
      <c r="C320" s="2" t="s">
        <v>330</v>
      </c>
      <c r="D320" s="2" t="s">
        <v>14</v>
      </c>
      <c r="E320" s="4">
        <f t="shared" si="13"/>
        <v>16035</v>
      </c>
      <c r="F320" s="4">
        <f>IF(DAY(B320)=1,INDEX([1]Parametros!$C$7:$C$18,MONTH(B320)),0)</f>
        <v>0</v>
      </c>
      <c r="G320" s="4">
        <v>268</v>
      </c>
      <c r="H320" s="4">
        <f t="shared" si="14"/>
        <v>15767</v>
      </c>
      <c r="I320" s="4">
        <f t="shared" si="12"/>
        <v>15901</v>
      </c>
      <c r="J320" s="2" t="s">
        <v>344</v>
      </c>
    </row>
    <row r="321" spans="2:10">
      <c r="B321" s="3">
        <v>46341</v>
      </c>
      <c r="C321" s="2" t="s">
        <v>330</v>
      </c>
      <c r="D321" s="2" t="s">
        <v>16</v>
      </c>
      <c r="E321" s="4">
        <f t="shared" si="13"/>
        <v>15767</v>
      </c>
      <c r="F321" s="4">
        <f>IF(DAY(B321)=1,INDEX([1]Parametros!$C$7:$C$18,MONTH(B321)),0)</f>
        <v>0</v>
      </c>
      <c r="G321" s="4">
        <v>225</v>
      </c>
      <c r="H321" s="4">
        <f t="shared" si="14"/>
        <v>15542</v>
      </c>
      <c r="I321" s="4">
        <f t="shared" si="12"/>
        <v>15654.5</v>
      </c>
      <c r="J321" s="2" t="s">
        <v>345</v>
      </c>
    </row>
    <row r="322" spans="2:10">
      <c r="B322" s="3">
        <v>46342</v>
      </c>
      <c r="C322" s="2" t="s">
        <v>330</v>
      </c>
      <c r="D322" s="2" t="s">
        <v>18</v>
      </c>
      <c r="E322" s="4">
        <f t="shared" si="13"/>
        <v>15542</v>
      </c>
      <c r="F322" s="4">
        <f>IF(DAY(B322)=1,INDEX([1]Parametros!$C$7:$C$18,MONTH(B322)),0)</f>
        <v>0</v>
      </c>
      <c r="G322" s="4">
        <v>429</v>
      </c>
      <c r="H322" s="4">
        <f t="shared" si="14"/>
        <v>15113</v>
      </c>
      <c r="I322" s="4">
        <f t="shared" si="12"/>
        <v>15327.5</v>
      </c>
      <c r="J322" s="2" t="s">
        <v>346</v>
      </c>
    </row>
    <row r="323" spans="2:10">
      <c r="B323" s="3">
        <v>46343</v>
      </c>
      <c r="C323" s="2" t="s">
        <v>330</v>
      </c>
      <c r="D323" s="2" t="s">
        <v>20</v>
      </c>
      <c r="E323" s="4">
        <f t="shared" si="13"/>
        <v>15113</v>
      </c>
      <c r="F323" s="4">
        <f>IF(DAY(B323)=1,INDEX([1]Parametros!$C$7:$C$18,MONTH(B323)),0)</f>
        <v>0</v>
      </c>
      <c r="G323" s="4">
        <v>413</v>
      </c>
      <c r="H323" s="4">
        <f t="shared" si="14"/>
        <v>14700</v>
      </c>
      <c r="I323" s="4">
        <f t="shared" ref="I323:I367" si="15">(E323+H323)/2</f>
        <v>14906.5</v>
      </c>
      <c r="J323" s="2" t="s">
        <v>347</v>
      </c>
    </row>
    <row r="324" spans="2:10">
      <c r="B324" s="3">
        <v>46344</v>
      </c>
      <c r="C324" s="2" t="s">
        <v>330</v>
      </c>
      <c r="D324" s="2" t="s">
        <v>22</v>
      </c>
      <c r="E324" s="4">
        <f t="shared" ref="E324:E367" si="16">H323</f>
        <v>14700</v>
      </c>
      <c r="F324" s="4">
        <f>IF(DAY(B324)=1,INDEX([1]Parametros!$C$7:$C$18,MONTH(B324)),0)</f>
        <v>0</v>
      </c>
      <c r="G324" s="4">
        <v>298</v>
      </c>
      <c r="H324" s="4">
        <f t="shared" ref="H324:H367" si="17">E324+F324-G324</f>
        <v>14402</v>
      </c>
      <c r="I324" s="4">
        <f t="shared" si="15"/>
        <v>14551</v>
      </c>
      <c r="J324" s="2" t="s">
        <v>348</v>
      </c>
    </row>
    <row r="325" spans="2:10">
      <c r="B325" s="3">
        <v>46345</v>
      </c>
      <c r="C325" s="2" t="s">
        <v>330</v>
      </c>
      <c r="D325" s="2" t="s">
        <v>10</v>
      </c>
      <c r="E325" s="4">
        <f t="shared" si="16"/>
        <v>14402</v>
      </c>
      <c r="F325" s="4">
        <f>IF(DAY(B325)=1,INDEX([1]Parametros!$C$7:$C$18,MONTH(B325)),0)</f>
        <v>0</v>
      </c>
      <c r="G325" s="4">
        <v>364</v>
      </c>
      <c r="H325" s="4">
        <f t="shared" si="17"/>
        <v>14038</v>
      </c>
      <c r="I325" s="4">
        <f t="shared" si="15"/>
        <v>14220</v>
      </c>
      <c r="J325" s="2" t="s">
        <v>349</v>
      </c>
    </row>
    <row r="326" spans="2:10">
      <c r="B326" s="3">
        <v>46346</v>
      </c>
      <c r="C326" s="2" t="s">
        <v>330</v>
      </c>
      <c r="D326" s="2" t="s">
        <v>12</v>
      </c>
      <c r="E326" s="4">
        <f t="shared" si="16"/>
        <v>14038</v>
      </c>
      <c r="F326" s="4">
        <f>IF(DAY(B326)=1,INDEX([1]Parametros!$C$7:$C$18,MONTH(B326)),0)</f>
        <v>0</v>
      </c>
      <c r="G326" s="4">
        <v>329</v>
      </c>
      <c r="H326" s="4">
        <f t="shared" si="17"/>
        <v>13709</v>
      </c>
      <c r="I326" s="4">
        <f t="shared" si="15"/>
        <v>13873.5</v>
      </c>
      <c r="J326" s="2" t="s">
        <v>350</v>
      </c>
    </row>
    <row r="327" spans="2:10">
      <c r="B327" s="3">
        <v>46347</v>
      </c>
      <c r="C327" s="2" t="s">
        <v>330</v>
      </c>
      <c r="D327" s="2" t="s">
        <v>14</v>
      </c>
      <c r="E327" s="4">
        <f t="shared" si="16"/>
        <v>13709</v>
      </c>
      <c r="F327" s="4">
        <f>IF(DAY(B327)=1,INDEX([1]Parametros!$C$7:$C$18,MONTH(B327)),0)</f>
        <v>0</v>
      </c>
      <c r="G327" s="4">
        <v>291</v>
      </c>
      <c r="H327" s="4">
        <f t="shared" si="17"/>
        <v>13418</v>
      </c>
      <c r="I327" s="4">
        <f t="shared" si="15"/>
        <v>13563.5</v>
      </c>
      <c r="J327" s="2" t="s">
        <v>351</v>
      </c>
    </row>
    <row r="328" spans="2:10">
      <c r="B328" s="3">
        <v>46348</v>
      </c>
      <c r="C328" s="2" t="s">
        <v>330</v>
      </c>
      <c r="D328" s="2" t="s">
        <v>16</v>
      </c>
      <c r="E328" s="4">
        <f t="shared" si="16"/>
        <v>13418</v>
      </c>
      <c r="F328" s="4">
        <f>IF(DAY(B328)=1,INDEX([1]Parametros!$C$7:$C$18,MONTH(B328)),0)</f>
        <v>0</v>
      </c>
      <c r="G328" s="4">
        <v>195</v>
      </c>
      <c r="H328" s="4">
        <f t="shared" si="17"/>
        <v>13223</v>
      </c>
      <c r="I328" s="4">
        <f t="shared" si="15"/>
        <v>13320.5</v>
      </c>
      <c r="J328" s="2" t="s">
        <v>352</v>
      </c>
    </row>
    <row r="329" spans="2:10">
      <c r="B329" s="3">
        <v>46349</v>
      </c>
      <c r="C329" s="2" t="s">
        <v>330</v>
      </c>
      <c r="D329" s="2" t="s">
        <v>18</v>
      </c>
      <c r="E329" s="4">
        <f t="shared" si="16"/>
        <v>13223</v>
      </c>
      <c r="F329" s="4">
        <f>IF(DAY(B329)=1,INDEX([1]Parametros!$C$7:$C$18,MONTH(B329)),0)</f>
        <v>0</v>
      </c>
      <c r="G329" s="4">
        <v>344</v>
      </c>
      <c r="H329" s="4">
        <f t="shared" si="17"/>
        <v>12879</v>
      </c>
      <c r="I329" s="4">
        <f t="shared" si="15"/>
        <v>13051</v>
      </c>
      <c r="J329" s="2" t="s">
        <v>353</v>
      </c>
    </row>
    <row r="330" spans="2:10">
      <c r="B330" s="3">
        <v>46350</v>
      </c>
      <c r="C330" s="2" t="s">
        <v>330</v>
      </c>
      <c r="D330" s="2" t="s">
        <v>20</v>
      </c>
      <c r="E330" s="4">
        <f t="shared" si="16"/>
        <v>12879</v>
      </c>
      <c r="F330" s="4">
        <f>IF(DAY(B330)=1,INDEX([1]Parametros!$C$7:$C$18,MONTH(B330)),0)</f>
        <v>0</v>
      </c>
      <c r="G330" s="4">
        <v>419</v>
      </c>
      <c r="H330" s="4">
        <f t="shared" si="17"/>
        <v>12460</v>
      </c>
      <c r="I330" s="4">
        <f t="shared" si="15"/>
        <v>12669.5</v>
      </c>
      <c r="J330" s="2" t="s">
        <v>354</v>
      </c>
    </row>
    <row r="331" spans="2:10">
      <c r="B331" s="3">
        <v>46351</v>
      </c>
      <c r="C331" s="2" t="s">
        <v>330</v>
      </c>
      <c r="D331" s="2" t="s">
        <v>22</v>
      </c>
      <c r="E331" s="4">
        <f t="shared" si="16"/>
        <v>12460</v>
      </c>
      <c r="F331" s="4">
        <f>IF(DAY(B331)=1,INDEX([1]Parametros!$C$7:$C$18,MONTH(B331)),0)</f>
        <v>0</v>
      </c>
      <c r="G331" s="4">
        <v>374</v>
      </c>
      <c r="H331" s="4">
        <f t="shared" si="17"/>
        <v>12086</v>
      </c>
      <c r="I331" s="4">
        <f t="shared" si="15"/>
        <v>12273</v>
      </c>
      <c r="J331" s="2" t="s">
        <v>355</v>
      </c>
    </row>
    <row r="332" spans="2:10">
      <c r="B332" s="3">
        <v>46352</v>
      </c>
      <c r="C332" s="2" t="s">
        <v>330</v>
      </c>
      <c r="D332" s="2" t="s">
        <v>10</v>
      </c>
      <c r="E332" s="4">
        <f t="shared" si="16"/>
        <v>12086</v>
      </c>
      <c r="F332" s="4">
        <f>IF(DAY(B332)=1,INDEX([1]Parametros!$C$7:$C$18,MONTH(B332)),0)</f>
        <v>0</v>
      </c>
      <c r="G332" s="4">
        <v>289</v>
      </c>
      <c r="H332" s="4">
        <f t="shared" si="17"/>
        <v>11797</v>
      </c>
      <c r="I332" s="4">
        <f t="shared" si="15"/>
        <v>11941.5</v>
      </c>
      <c r="J332" s="2" t="s">
        <v>356</v>
      </c>
    </row>
    <row r="333" spans="2:10">
      <c r="B333" s="3">
        <v>46353</v>
      </c>
      <c r="C333" s="2" t="s">
        <v>330</v>
      </c>
      <c r="D333" s="2" t="s">
        <v>12</v>
      </c>
      <c r="E333" s="4">
        <f t="shared" si="16"/>
        <v>11797</v>
      </c>
      <c r="F333" s="4">
        <f>IF(DAY(B333)=1,INDEX([1]Parametros!$C$7:$C$18,MONTH(B333)),0)</f>
        <v>0</v>
      </c>
      <c r="G333" s="4">
        <v>391</v>
      </c>
      <c r="H333" s="4">
        <f t="shared" si="17"/>
        <v>11406</v>
      </c>
      <c r="I333" s="4">
        <f t="shared" si="15"/>
        <v>11601.5</v>
      </c>
      <c r="J333" s="2" t="s">
        <v>357</v>
      </c>
    </row>
    <row r="334" spans="2:10">
      <c r="B334" s="3">
        <v>46354</v>
      </c>
      <c r="C334" s="2" t="s">
        <v>330</v>
      </c>
      <c r="D334" s="2" t="s">
        <v>14</v>
      </c>
      <c r="E334" s="4">
        <f t="shared" si="16"/>
        <v>11406</v>
      </c>
      <c r="F334" s="4">
        <f>IF(DAY(B334)=1,INDEX([1]Parametros!$C$7:$C$18,MONTH(B334)),0)</f>
        <v>0</v>
      </c>
      <c r="G334" s="4">
        <v>226</v>
      </c>
      <c r="H334" s="4">
        <f t="shared" si="17"/>
        <v>11180</v>
      </c>
      <c r="I334" s="4">
        <f t="shared" si="15"/>
        <v>11293</v>
      </c>
      <c r="J334" s="2" t="s">
        <v>358</v>
      </c>
    </row>
    <row r="335" spans="2:10">
      <c r="B335" s="3">
        <v>46355</v>
      </c>
      <c r="C335" s="2" t="s">
        <v>330</v>
      </c>
      <c r="D335" s="2" t="s">
        <v>16</v>
      </c>
      <c r="E335" s="4">
        <f t="shared" si="16"/>
        <v>11180</v>
      </c>
      <c r="F335" s="4">
        <f>IF(DAY(B335)=1,INDEX([1]Parametros!$C$7:$C$18,MONTH(B335)),0)</f>
        <v>0</v>
      </c>
      <c r="G335" s="4">
        <v>191</v>
      </c>
      <c r="H335" s="4">
        <f t="shared" si="17"/>
        <v>10989</v>
      </c>
      <c r="I335" s="4">
        <f t="shared" si="15"/>
        <v>11084.5</v>
      </c>
      <c r="J335" s="2" t="s">
        <v>359</v>
      </c>
    </row>
    <row r="336" spans="2:10">
      <c r="B336" s="3">
        <v>46356</v>
      </c>
      <c r="C336" s="2" t="s">
        <v>330</v>
      </c>
      <c r="D336" s="2" t="s">
        <v>18</v>
      </c>
      <c r="E336" s="4">
        <f t="shared" si="16"/>
        <v>10989</v>
      </c>
      <c r="F336" s="4">
        <f>IF(DAY(B336)=1,INDEX([1]Parametros!$C$7:$C$18,MONTH(B336)),0)</f>
        <v>0</v>
      </c>
      <c r="G336" s="4">
        <v>363</v>
      </c>
      <c r="H336" s="4">
        <f t="shared" si="17"/>
        <v>10626</v>
      </c>
      <c r="I336" s="4">
        <f t="shared" si="15"/>
        <v>10807.5</v>
      </c>
      <c r="J336" s="2" t="s">
        <v>360</v>
      </c>
    </row>
    <row r="337" spans="2:10">
      <c r="B337" s="3">
        <v>46357</v>
      </c>
      <c r="C337" s="2" t="s">
        <v>361</v>
      </c>
      <c r="D337" s="2" t="s">
        <v>20</v>
      </c>
      <c r="E337" s="4">
        <f t="shared" si="16"/>
        <v>10626</v>
      </c>
      <c r="F337" s="4">
        <f>IF(DAY(B337)=1,INDEX([1]Parametros!$C$7:$C$18,MONTH(B337)),0)</f>
        <v>10500</v>
      </c>
      <c r="G337" s="4">
        <v>426</v>
      </c>
      <c r="H337" s="4">
        <f t="shared" si="17"/>
        <v>20700</v>
      </c>
      <c r="I337" s="4">
        <f t="shared" si="15"/>
        <v>15663</v>
      </c>
      <c r="J337" s="2" t="s">
        <v>362</v>
      </c>
    </row>
    <row r="338" spans="2:10">
      <c r="B338" s="3">
        <v>46358</v>
      </c>
      <c r="C338" s="2" t="s">
        <v>361</v>
      </c>
      <c r="D338" s="2" t="s">
        <v>22</v>
      </c>
      <c r="E338" s="4">
        <f t="shared" si="16"/>
        <v>20700</v>
      </c>
      <c r="F338" s="4">
        <f>IF(DAY(B338)=1,INDEX([1]Parametros!$C$7:$C$18,MONTH(B338)),0)</f>
        <v>0</v>
      </c>
      <c r="G338" s="4">
        <v>341</v>
      </c>
      <c r="H338" s="4">
        <f t="shared" si="17"/>
        <v>20359</v>
      </c>
      <c r="I338" s="4">
        <f t="shared" si="15"/>
        <v>20529.5</v>
      </c>
      <c r="J338" s="2" t="s">
        <v>363</v>
      </c>
    </row>
    <row r="339" spans="2:10">
      <c r="B339" s="3">
        <v>46359</v>
      </c>
      <c r="C339" s="2" t="s">
        <v>361</v>
      </c>
      <c r="D339" s="2" t="s">
        <v>10</v>
      </c>
      <c r="E339" s="4">
        <f t="shared" si="16"/>
        <v>20359</v>
      </c>
      <c r="F339" s="4">
        <f>IF(DAY(B339)=1,INDEX([1]Parametros!$C$7:$C$18,MONTH(B339)),0)</f>
        <v>0</v>
      </c>
      <c r="G339" s="4">
        <v>375</v>
      </c>
      <c r="H339" s="4">
        <f t="shared" si="17"/>
        <v>19984</v>
      </c>
      <c r="I339" s="4">
        <f t="shared" si="15"/>
        <v>20171.5</v>
      </c>
      <c r="J339" s="2" t="s">
        <v>364</v>
      </c>
    </row>
    <row r="340" spans="2:10">
      <c r="B340" s="3">
        <v>46360</v>
      </c>
      <c r="C340" s="2" t="s">
        <v>361</v>
      </c>
      <c r="D340" s="2" t="s">
        <v>12</v>
      </c>
      <c r="E340" s="4">
        <f t="shared" si="16"/>
        <v>19984</v>
      </c>
      <c r="F340" s="4">
        <f>IF(DAY(B340)=1,INDEX([1]Parametros!$C$7:$C$18,MONTH(B340)),0)</f>
        <v>0</v>
      </c>
      <c r="G340" s="4">
        <v>461</v>
      </c>
      <c r="H340" s="4">
        <f t="shared" si="17"/>
        <v>19523</v>
      </c>
      <c r="I340" s="4">
        <f t="shared" si="15"/>
        <v>19753.5</v>
      </c>
      <c r="J340" s="2" t="s">
        <v>365</v>
      </c>
    </row>
    <row r="341" spans="2:10">
      <c r="B341" s="3">
        <v>46361</v>
      </c>
      <c r="C341" s="2" t="s">
        <v>361</v>
      </c>
      <c r="D341" s="2" t="s">
        <v>14</v>
      </c>
      <c r="E341" s="4">
        <f t="shared" si="16"/>
        <v>19523</v>
      </c>
      <c r="F341" s="4">
        <f>IF(DAY(B341)=1,INDEX([1]Parametros!$C$7:$C$18,MONTH(B341)),0)</f>
        <v>0</v>
      </c>
      <c r="G341" s="4">
        <v>240</v>
      </c>
      <c r="H341" s="4">
        <f t="shared" si="17"/>
        <v>19283</v>
      </c>
      <c r="I341" s="4">
        <f t="shared" si="15"/>
        <v>19403</v>
      </c>
      <c r="J341" s="2" t="s">
        <v>366</v>
      </c>
    </row>
    <row r="342" spans="2:10">
      <c r="B342" s="3">
        <v>46362</v>
      </c>
      <c r="C342" s="2" t="s">
        <v>361</v>
      </c>
      <c r="D342" s="2" t="s">
        <v>16</v>
      </c>
      <c r="E342" s="4">
        <f t="shared" si="16"/>
        <v>19283</v>
      </c>
      <c r="F342" s="4">
        <f>IF(DAY(B342)=1,INDEX([1]Parametros!$C$7:$C$18,MONTH(B342)),0)</f>
        <v>0</v>
      </c>
      <c r="G342" s="4">
        <v>207</v>
      </c>
      <c r="H342" s="4">
        <f t="shared" si="17"/>
        <v>19076</v>
      </c>
      <c r="I342" s="4">
        <f t="shared" si="15"/>
        <v>19179.5</v>
      </c>
      <c r="J342" s="2" t="s">
        <v>367</v>
      </c>
    </row>
    <row r="343" spans="2:10">
      <c r="B343" s="3">
        <v>46363</v>
      </c>
      <c r="C343" s="2" t="s">
        <v>361</v>
      </c>
      <c r="D343" s="2" t="s">
        <v>18</v>
      </c>
      <c r="E343" s="4">
        <f t="shared" si="16"/>
        <v>19076</v>
      </c>
      <c r="F343" s="4">
        <f>IF(DAY(B343)=1,INDEX([1]Parametros!$C$7:$C$18,MONTH(B343)),0)</f>
        <v>0</v>
      </c>
      <c r="G343" s="4">
        <v>408</v>
      </c>
      <c r="H343" s="4">
        <f t="shared" si="17"/>
        <v>18668</v>
      </c>
      <c r="I343" s="4">
        <f t="shared" si="15"/>
        <v>18872</v>
      </c>
      <c r="J343" s="2" t="s">
        <v>368</v>
      </c>
    </row>
    <row r="344" spans="2:10">
      <c r="B344" s="3">
        <v>46364</v>
      </c>
      <c r="C344" s="2" t="s">
        <v>361</v>
      </c>
      <c r="D344" s="2" t="s">
        <v>20</v>
      </c>
      <c r="E344" s="4">
        <f t="shared" si="16"/>
        <v>18668</v>
      </c>
      <c r="F344" s="4">
        <f>IF(DAY(B344)=1,INDEX([1]Parametros!$C$7:$C$18,MONTH(B344)),0)</f>
        <v>0</v>
      </c>
      <c r="G344" s="4">
        <v>369</v>
      </c>
      <c r="H344" s="4">
        <f t="shared" si="17"/>
        <v>18299</v>
      </c>
      <c r="I344" s="4">
        <f t="shared" si="15"/>
        <v>18483.5</v>
      </c>
      <c r="J344" s="2" t="s">
        <v>369</v>
      </c>
    </row>
    <row r="345" spans="2:10">
      <c r="B345" s="3">
        <v>46365</v>
      </c>
      <c r="C345" s="2" t="s">
        <v>361</v>
      </c>
      <c r="D345" s="2" t="s">
        <v>22</v>
      </c>
      <c r="E345" s="4">
        <f t="shared" si="16"/>
        <v>18299</v>
      </c>
      <c r="F345" s="4">
        <f>IF(DAY(B345)=1,INDEX([1]Parametros!$C$7:$C$18,MONTH(B345)),0)</f>
        <v>0</v>
      </c>
      <c r="G345" s="4">
        <v>399</v>
      </c>
      <c r="H345" s="4">
        <f t="shared" si="17"/>
        <v>17900</v>
      </c>
      <c r="I345" s="4">
        <f t="shared" si="15"/>
        <v>18099.5</v>
      </c>
      <c r="J345" s="2" t="s">
        <v>370</v>
      </c>
    </row>
    <row r="346" spans="2:10">
      <c r="B346" s="3">
        <v>46366</v>
      </c>
      <c r="C346" s="2" t="s">
        <v>361</v>
      </c>
      <c r="D346" s="2" t="s">
        <v>10</v>
      </c>
      <c r="E346" s="4">
        <f t="shared" si="16"/>
        <v>17900</v>
      </c>
      <c r="F346" s="4">
        <f>IF(DAY(B346)=1,INDEX([1]Parametros!$C$7:$C$18,MONTH(B346)),0)</f>
        <v>0</v>
      </c>
      <c r="G346" s="4">
        <v>369</v>
      </c>
      <c r="H346" s="4">
        <f t="shared" si="17"/>
        <v>17531</v>
      </c>
      <c r="I346" s="4">
        <f t="shared" si="15"/>
        <v>17715.5</v>
      </c>
      <c r="J346" s="2" t="s">
        <v>371</v>
      </c>
    </row>
    <row r="347" spans="2:10">
      <c r="B347" s="3">
        <v>46367</v>
      </c>
      <c r="C347" s="2" t="s">
        <v>361</v>
      </c>
      <c r="D347" s="2" t="s">
        <v>12</v>
      </c>
      <c r="E347" s="4">
        <f t="shared" si="16"/>
        <v>17531</v>
      </c>
      <c r="F347" s="4">
        <f>IF(DAY(B347)=1,INDEX([1]Parametros!$C$7:$C$18,MONTH(B347)),0)</f>
        <v>0</v>
      </c>
      <c r="G347" s="4">
        <v>383</v>
      </c>
      <c r="H347" s="4">
        <f t="shared" si="17"/>
        <v>17148</v>
      </c>
      <c r="I347" s="4">
        <f t="shared" si="15"/>
        <v>17339.5</v>
      </c>
      <c r="J347" s="2" t="s">
        <v>372</v>
      </c>
    </row>
    <row r="348" spans="2:10">
      <c r="B348" s="3">
        <v>46368</v>
      </c>
      <c r="C348" s="2" t="s">
        <v>361</v>
      </c>
      <c r="D348" s="2" t="s">
        <v>14</v>
      </c>
      <c r="E348" s="4">
        <f t="shared" si="16"/>
        <v>17148</v>
      </c>
      <c r="F348" s="4">
        <f>IF(DAY(B348)=1,INDEX([1]Parametros!$C$7:$C$18,MONTH(B348)),0)</f>
        <v>0</v>
      </c>
      <c r="G348" s="4">
        <v>313</v>
      </c>
      <c r="H348" s="4">
        <f t="shared" si="17"/>
        <v>16835</v>
      </c>
      <c r="I348" s="4">
        <f t="shared" si="15"/>
        <v>16991.5</v>
      </c>
      <c r="J348" s="2" t="s">
        <v>373</v>
      </c>
    </row>
    <row r="349" spans="2:10">
      <c r="B349" s="3">
        <v>46369</v>
      </c>
      <c r="C349" s="2" t="s">
        <v>361</v>
      </c>
      <c r="D349" s="2" t="s">
        <v>16</v>
      </c>
      <c r="E349" s="4">
        <f t="shared" si="16"/>
        <v>16835</v>
      </c>
      <c r="F349" s="4">
        <f>IF(DAY(B349)=1,INDEX([1]Parametros!$C$7:$C$18,MONTH(B349)),0)</f>
        <v>0</v>
      </c>
      <c r="G349" s="4">
        <v>223</v>
      </c>
      <c r="H349" s="4">
        <f t="shared" si="17"/>
        <v>16612</v>
      </c>
      <c r="I349" s="4">
        <f t="shared" si="15"/>
        <v>16723.5</v>
      </c>
      <c r="J349" s="2" t="s">
        <v>374</v>
      </c>
    </row>
    <row r="350" spans="2:10">
      <c r="B350" s="3">
        <v>46370</v>
      </c>
      <c r="C350" s="2" t="s">
        <v>361</v>
      </c>
      <c r="D350" s="2" t="s">
        <v>18</v>
      </c>
      <c r="E350" s="4">
        <f t="shared" si="16"/>
        <v>16612</v>
      </c>
      <c r="F350" s="4">
        <f>IF(DAY(B350)=1,INDEX([1]Parametros!$C$7:$C$18,MONTH(B350)),0)</f>
        <v>0</v>
      </c>
      <c r="G350" s="4">
        <v>398</v>
      </c>
      <c r="H350" s="4">
        <f t="shared" si="17"/>
        <v>16214</v>
      </c>
      <c r="I350" s="4">
        <f t="shared" si="15"/>
        <v>16413</v>
      </c>
      <c r="J350" s="2" t="s">
        <v>375</v>
      </c>
    </row>
    <row r="351" spans="2:10">
      <c r="B351" s="3">
        <v>46371</v>
      </c>
      <c r="C351" s="2" t="s">
        <v>361</v>
      </c>
      <c r="D351" s="2" t="s">
        <v>20</v>
      </c>
      <c r="E351" s="4">
        <f t="shared" si="16"/>
        <v>16214</v>
      </c>
      <c r="F351" s="4">
        <f>IF(DAY(B351)=1,INDEX([1]Parametros!$C$7:$C$18,MONTH(B351)),0)</f>
        <v>0</v>
      </c>
      <c r="G351" s="4">
        <v>370</v>
      </c>
      <c r="H351" s="4">
        <f t="shared" si="17"/>
        <v>15844</v>
      </c>
      <c r="I351" s="4">
        <f t="shared" si="15"/>
        <v>16029</v>
      </c>
      <c r="J351" s="2" t="s">
        <v>376</v>
      </c>
    </row>
    <row r="352" spans="2:10">
      <c r="B352" s="3">
        <v>46372</v>
      </c>
      <c r="C352" s="2" t="s">
        <v>361</v>
      </c>
      <c r="D352" s="2" t="s">
        <v>22</v>
      </c>
      <c r="E352" s="4">
        <f t="shared" si="16"/>
        <v>15844</v>
      </c>
      <c r="F352" s="4">
        <f>IF(DAY(B352)=1,INDEX([1]Parametros!$C$7:$C$18,MONTH(B352)),0)</f>
        <v>0</v>
      </c>
      <c r="G352" s="4">
        <v>359</v>
      </c>
      <c r="H352" s="4">
        <f t="shared" si="17"/>
        <v>15485</v>
      </c>
      <c r="I352" s="4">
        <f t="shared" si="15"/>
        <v>15664.5</v>
      </c>
      <c r="J352" s="2" t="s">
        <v>377</v>
      </c>
    </row>
    <row r="353" spans="2:10">
      <c r="B353" s="3">
        <v>46373</v>
      </c>
      <c r="C353" s="2" t="s">
        <v>361</v>
      </c>
      <c r="D353" s="2" t="s">
        <v>10</v>
      </c>
      <c r="E353" s="4">
        <f t="shared" si="16"/>
        <v>15485</v>
      </c>
      <c r="F353" s="4">
        <f>IF(DAY(B353)=1,INDEX([1]Parametros!$C$7:$C$18,MONTH(B353)),0)</f>
        <v>0</v>
      </c>
      <c r="G353" s="4">
        <v>400</v>
      </c>
      <c r="H353" s="4">
        <f t="shared" si="17"/>
        <v>15085</v>
      </c>
      <c r="I353" s="4">
        <f t="shared" si="15"/>
        <v>15285</v>
      </c>
      <c r="J353" s="2" t="s">
        <v>378</v>
      </c>
    </row>
    <row r="354" spans="2:10">
      <c r="B354" s="3">
        <v>46374</v>
      </c>
      <c r="C354" s="2" t="s">
        <v>361</v>
      </c>
      <c r="D354" s="2" t="s">
        <v>12</v>
      </c>
      <c r="E354" s="4">
        <f t="shared" si="16"/>
        <v>15085</v>
      </c>
      <c r="F354" s="4">
        <f>IF(DAY(B354)=1,INDEX([1]Parametros!$C$7:$C$18,MONTH(B354)),0)</f>
        <v>0</v>
      </c>
      <c r="G354" s="4">
        <v>406</v>
      </c>
      <c r="H354" s="4">
        <f t="shared" si="17"/>
        <v>14679</v>
      </c>
      <c r="I354" s="4">
        <f t="shared" si="15"/>
        <v>14882</v>
      </c>
      <c r="J354" s="2" t="s">
        <v>379</v>
      </c>
    </row>
    <row r="355" spans="2:10">
      <c r="B355" s="3">
        <v>46375</v>
      </c>
      <c r="C355" s="2" t="s">
        <v>361</v>
      </c>
      <c r="D355" s="2" t="s">
        <v>14</v>
      </c>
      <c r="E355" s="4">
        <f t="shared" si="16"/>
        <v>14679</v>
      </c>
      <c r="F355" s="4">
        <f>IF(DAY(B355)=1,INDEX([1]Parametros!$C$7:$C$18,MONTH(B355)),0)</f>
        <v>0</v>
      </c>
      <c r="G355" s="4">
        <v>276</v>
      </c>
      <c r="H355" s="4">
        <f t="shared" si="17"/>
        <v>14403</v>
      </c>
      <c r="I355" s="4">
        <f t="shared" si="15"/>
        <v>14541</v>
      </c>
      <c r="J355" s="2" t="s">
        <v>380</v>
      </c>
    </row>
    <row r="356" spans="2:10">
      <c r="B356" s="3">
        <v>46376</v>
      </c>
      <c r="C356" s="2" t="s">
        <v>361</v>
      </c>
      <c r="D356" s="2" t="s">
        <v>16</v>
      </c>
      <c r="E356" s="4">
        <f t="shared" si="16"/>
        <v>14403</v>
      </c>
      <c r="F356" s="4">
        <f>IF(DAY(B356)=1,INDEX([1]Parametros!$C$7:$C$18,MONTH(B356)),0)</f>
        <v>0</v>
      </c>
      <c r="G356" s="4">
        <v>196</v>
      </c>
      <c r="H356" s="4">
        <f t="shared" si="17"/>
        <v>14207</v>
      </c>
      <c r="I356" s="4">
        <f t="shared" si="15"/>
        <v>14305</v>
      </c>
      <c r="J356" s="2" t="s">
        <v>381</v>
      </c>
    </row>
    <row r="357" spans="2:10">
      <c r="B357" s="3">
        <v>46377</v>
      </c>
      <c r="C357" s="2" t="s">
        <v>361</v>
      </c>
      <c r="D357" s="2" t="s">
        <v>18</v>
      </c>
      <c r="E357" s="4">
        <f t="shared" si="16"/>
        <v>14207</v>
      </c>
      <c r="F357" s="4">
        <f>IF(DAY(B357)=1,INDEX([1]Parametros!$C$7:$C$18,MONTH(B357)),0)</f>
        <v>0</v>
      </c>
      <c r="G357" s="4">
        <v>420</v>
      </c>
      <c r="H357" s="4">
        <f t="shared" si="17"/>
        <v>13787</v>
      </c>
      <c r="I357" s="4">
        <f t="shared" si="15"/>
        <v>13997</v>
      </c>
      <c r="J357" s="2" t="s">
        <v>382</v>
      </c>
    </row>
    <row r="358" spans="2:10">
      <c r="B358" s="3">
        <v>46378</v>
      </c>
      <c r="C358" s="2" t="s">
        <v>361</v>
      </c>
      <c r="D358" s="2" t="s">
        <v>20</v>
      </c>
      <c r="E358" s="4">
        <f t="shared" si="16"/>
        <v>13787</v>
      </c>
      <c r="F358" s="4">
        <f>IF(DAY(B358)=1,INDEX([1]Parametros!$C$7:$C$18,MONTH(B358)),0)</f>
        <v>0</v>
      </c>
      <c r="G358" s="4">
        <v>385</v>
      </c>
      <c r="H358" s="4">
        <f t="shared" si="17"/>
        <v>13402</v>
      </c>
      <c r="I358" s="4">
        <f t="shared" si="15"/>
        <v>13594.5</v>
      </c>
      <c r="J358" s="2" t="s">
        <v>383</v>
      </c>
    </row>
    <row r="359" spans="2:10">
      <c r="B359" s="3">
        <v>46379</v>
      </c>
      <c r="C359" s="2" t="s">
        <v>361</v>
      </c>
      <c r="D359" s="2" t="s">
        <v>22</v>
      </c>
      <c r="E359" s="4">
        <f t="shared" si="16"/>
        <v>13402</v>
      </c>
      <c r="F359" s="4">
        <f>IF(DAY(B359)=1,INDEX([1]Parametros!$C$7:$C$18,MONTH(B359)),0)</f>
        <v>0</v>
      </c>
      <c r="G359" s="4">
        <v>402</v>
      </c>
      <c r="H359" s="4">
        <f t="shared" si="17"/>
        <v>13000</v>
      </c>
      <c r="I359" s="4">
        <f t="shared" si="15"/>
        <v>13201</v>
      </c>
      <c r="J359" s="2" t="s">
        <v>384</v>
      </c>
    </row>
    <row r="360" spans="2:10">
      <c r="B360" s="3">
        <v>46380</v>
      </c>
      <c r="C360" s="2" t="s">
        <v>361</v>
      </c>
      <c r="D360" s="2" t="s">
        <v>10</v>
      </c>
      <c r="E360" s="4">
        <f t="shared" si="16"/>
        <v>13000</v>
      </c>
      <c r="F360" s="4">
        <f>IF(DAY(B360)=1,INDEX([1]Parametros!$C$7:$C$18,MONTH(B360)),0)</f>
        <v>0</v>
      </c>
      <c r="G360" s="4">
        <v>361</v>
      </c>
      <c r="H360" s="4">
        <f t="shared" si="17"/>
        <v>12639</v>
      </c>
      <c r="I360" s="4">
        <f t="shared" si="15"/>
        <v>12819.5</v>
      </c>
      <c r="J360" s="2" t="s">
        <v>385</v>
      </c>
    </row>
    <row r="361" spans="2:10">
      <c r="B361" s="3">
        <v>46381</v>
      </c>
      <c r="C361" s="2" t="s">
        <v>361</v>
      </c>
      <c r="D361" s="2" t="s">
        <v>12</v>
      </c>
      <c r="E361" s="4">
        <f t="shared" si="16"/>
        <v>12639</v>
      </c>
      <c r="F361" s="4">
        <f>IF(DAY(B361)=1,INDEX([1]Parametros!$C$7:$C$18,MONTH(B361)),0)</f>
        <v>0</v>
      </c>
      <c r="G361" s="4">
        <v>433</v>
      </c>
      <c r="H361" s="4">
        <f t="shared" si="17"/>
        <v>12206</v>
      </c>
      <c r="I361" s="4">
        <f t="shared" si="15"/>
        <v>12422.5</v>
      </c>
      <c r="J361" s="2" t="s">
        <v>386</v>
      </c>
    </row>
    <row r="362" spans="2:10">
      <c r="B362" s="3">
        <v>46382</v>
      </c>
      <c r="C362" s="2" t="s">
        <v>361</v>
      </c>
      <c r="D362" s="2" t="s">
        <v>14</v>
      </c>
      <c r="E362" s="4">
        <f t="shared" si="16"/>
        <v>12206</v>
      </c>
      <c r="F362" s="4">
        <f>IF(DAY(B362)=1,INDEX([1]Parametros!$C$7:$C$18,MONTH(B362)),0)</f>
        <v>0</v>
      </c>
      <c r="G362" s="4">
        <v>282</v>
      </c>
      <c r="H362" s="4">
        <f t="shared" si="17"/>
        <v>11924</v>
      </c>
      <c r="I362" s="4">
        <f t="shared" si="15"/>
        <v>12065</v>
      </c>
      <c r="J362" s="2" t="s">
        <v>387</v>
      </c>
    </row>
    <row r="363" spans="2:10">
      <c r="B363" s="3">
        <v>46383</v>
      </c>
      <c r="C363" s="2" t="s">
        <v>361</v>
      </c>
      <c r="D363" s="2" t="s">
        <v>16</v>
      </c>
      <c r="E363" s="4">
        <f t="shared" si="16"/>
        <v>11924</v>
      </c>
      <c r="F363" s="4">
        <f>IF(DAY(B363)=1,INDEX([1]Parametros!$C$7:$C$18,MONTH(B363)),0)</f>
        <v>0</v>
      </c>
      <c r="G363" s="4">
        <v>198</v>
      </c>
      <c r="H363" s="4">
        <f t="shared" si="17"/>
        <v>11726</v>
      </c>
      <c r="I363" s="4">
        <f t="shared" si="15"/>
        <v>11825</v>
      </c>
      <c r="J363" s="2" t="s">
        <v>388</v>
      </c>
    </row>
    <row r="364" spans="2:10">
      <c r="B364" s="3">
        <v>46384</v>
      </c>
      <c r="C364" s="2" t="s">
        <v>361</v>
      </c>
      <c r="D364" s="2" t="s">
        <v>18</v>
      </c>
      <c r="E364" s="4">
        <f t="shared" si="16"/>
        <v>11726</v>
      </c>
      <c r="F364" s="4">
        <f>IF(DAY(B364)=1,INDEX([1]Parametros!$C$7:$C$18,MONTH(B364)),0)</f>
        <v>0</v>
      </c>
      <c r="G364" s="4">
        <v>379</v>
      </c>
      <c r="H364" s="4">
        <f t="shared" si="17"/>
        <v>11347</v>
      </c>
      <c r="I364" s="4">
        <f t="shared" si="15"/>
        <v>11536.5</v>
      </c>
      <c r="J364" s="2" t="s">
        <v>389</v>
      </c>
    </row>
    <row r="365" spans="2:10">
      <c r="B365" s="3">
        <v>46385</v>
      </c>
      <c r="C365" s="2" t="s">
        <v>361</v>
      </c>
      <c r="D365" s="2" t="s">
        <v>20</v>
      </c>
      <c r="E365" s="4">
        <f t="shared" si="16"/>
        <v>11347</v>
      </c>
      <c r="F365" s="4">
        <f>IF(DAY(B365)=1,INDEX([1]Parametros!$C$7:$C$18,MONTH(B365)),0)</f>
        <v>0</v>
      </c>
      <c r="G365" s="4">
        <v>362</v>
      </c>
      <c r="H365" s="4">
        <f t="shared" si="17"/>
        <v>10985</v>
      </c>
      <c r="I365" s="4">
        <f t="shared" si="15"/>
        <v>11166</v>
      </c>
      <c r="J365" s="2" t="s">
        <v>390</v>
      </c>
    </row>
    <row r="366" spans="2:10">
      <c r="B366" s="3">
        <v>46386</v>
      </c>
      <c r="C366" s="2" t="s">
        <v>361</v>
      </c>
      <c r="D366" s="2" t="s">
        <v>22</v>
      </c>
      <c r="E366" s="4">
        <f t="shared" si="16"/>
        <v>10985</v>
      </c>
      <c r="F366" s="4">
        <f>IF(DAY(B366)=1,INDEX([1]Parametros!$C$7:$C$18,MONTH(B366)),0)</f>
        <v>0</v>
      </c>
      <c r="G366" s="4">
        <v>360</v>
      </c>
      <c r="H366" s="4">
        <f t="shared" si="17"/>
        <v>10625</v>
      </c>
      <c r="I366" s="4">
        <f t="shared" si="15"/>
        <v>10805</v>
      </c>
      <c r="J366" s="2" t="s">
        <v>391</v>
      </c>
    </row>
    <row r="367" spans="2:10">
      <c r="B367" s="3">
        <v>46387</v>
      </c>
      <c r="C367" s="2" t="s">
        <v>361</v>
      </c>
      <c r="D367" s="2" t="s">
        <v>10</v>
      </c>
      <c r="E367" s="4">
        <f t="shared" si="16"/>
        <v>10625</v>
      </c>
      <c r="F367" s="4">
        <f>IF(DAY(B367)=1,INDEX([1]Parametros!$C$7:$C$18,MONTH(B367)),0)</f>
        <v>0</v>
      </c>
      <c r="G367" s="4">
        <v>338</v>
      </c>
      <c r="H367" s="4">
        <f t="shared" si="17"/>
        <v>10287</v>
      </c>
      <c r="I367" s="4">
        <f t="shared" si="15"/>
        <v>10456</v>
      </c>
      <c r="J367" s="2" t="s">
        <v>392</v>
      </c>
    </row>
  </sheetData>
  <conditionalFormatting sqref="F3:F367">
    <cfRule type="cellIs" dxfId="1" priority="1" operator="greaterThan">
      <formula>0</formula>
    </cfRule>
  </conditionalFormatting>
  <conditionalFormatting sqref="H3:H367">
    <cfRule type="cellIs" dxfId="0" priority="2" operator="lessThan">
      <formula>11000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Filho | LPJ</dc:creator>
  <cp:lastModifiedBy>Renato Filho | LPJ</cp:lastModifiedBy>
  <dcterms:created xsi:type="dcterms:W3CDTF">2026-08-27T23:58:11Z</dcterms:created>
  <dcterms:modified xsi:type="dcterms:W3CDTF">2026-08-28T00:21:38Z</dcterms:modified>
</cp:coreProperties>
</file>